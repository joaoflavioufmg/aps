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7950D886-0E66-48BF-BEE3-AEA2FC703AA3}" xr6:coauthVersionLast="47" xr6:coauthVersionMax="47" xr10:uidLastSave="{00000000-0000-0000-0000-000000000000}"/>
  <bookViews>
    <workbookView xWindow="-120" yWindow="-120" windowWidth="29040" windowHeight="15720" tabRatio="713" xr2:uid="{9B511E88-5675-4EBD-949A-1B95DEE9BC43}"/>
  </bookViews>
  <sheets>
    <sheet name="1-Financeiro" sheetId="2" r:id="rId1"/>
    <sheet name="2-NovasUnidades" sheetId="3" r:id="rId2"/>
    <sheet name="3-RealocacaoEquipe" sheetId="4" r:id="rId3"/>
    <sheet name="4-ContratacaoEquipe" sheetId="5" r:id="rId4"/>
    <sheet name="5-Balanceamento" sheetId="6" r:id="rId5"/>
    <sheet name="6-Fluxo" sheetId="7" r:id="rId6"/>
    <sheet name="7-Uso" sheetId="8" r:id="rId7"/>
  </sheets>
  <definedNames>
    <definedName name="_xlchart.v1.0" hidden="1">'1-Financeiro'!$C$3:$C$7</definedName>
    <definedName name="_xlchart.v1.1" hidden="1">'1-Financeiro'!$A$3:$A$7</definedName>
    <definedName name="_xlchart.v1.2" hidden="1">'1-Financeiro'!$B$3:$B$7</definedName>
    <definedName name="_xlchart.v1.3" hidden="1">'1-Financeiro'!$C$3:$C$7</definedName>
    <definedName name="DadosExternos_1" localSheetId="0" hidden="1">'1-Financeiro'!$A$1:$B$11</definedName>
    <definedName name="DadosExternos_1" localSheetId="1" hidden="1">'2-NovasUnidades'!$A$1:$D$4</definedName>
    <definedName name="DadosExternos_1" localSheetId="2" hidden="1">'3-RealocacaoEquipe'!$A$1:$E$29</definedName>
    <definedName name="DadosExternos_1" localSheetId="3" hidden="1">'4-ContratacaoEquipe'!$A$1:$C$16</definedName>
    <definedName name="DadosExternos_1" localSheetId="4" hidden="1">'5-Balanceamento'!$A$1:$I$64</definedName>
    <definedName name="DadosExternos_1" localSheetId="5" hidden="1">'6-Fluxo'!$A$1:$C$190</definedName>
    <definedName name="DadosExternos_1" localSheetId="6" hidden="1">'7-Uso'!$A$1:$D$25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37130B-BA48-4B4B-B72B-374BA15F4533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74530220-E149-4A64-BF13-2045A71E5065}" keepAlive="1" name="Consulta - 2-NovasUnidades" description="Conexão com a consulta '2-NovasUnidades' na pasta de trabalho." type="5" refreshedVersion="8" background="1" saveData="1">
    <dbPr connection="Provider=Microsoft.Mashup.OleDb.1;Data Source=$Workbook$;Location=2-NovasUnidades;Extended Properties=&quot;&quot;" command="SELECT * FROM [2-NovasUnidades]"/>
  </connection>
  <connection id="3" xr16:uid="{41C135DF-51E3-4491-B035-CD845B987ACA}" keepAlive="1" name="Consulta - 3-RealocacaoEquipe" description="Conexão com a consulta '3-RealocacaoEquipe' na pasta de trabalho." type="5" refreshedVersion="8" background="1" saveData="1">
    <dbPr connection="Provider=Microsoft.Mashup.OleDb.1;Data Source=$Workbook$;Location=3-RealocacaoEquipe;Extended Properties=&quot;&quot;" command="SELECT * FROM [3-RealocacaoEquipe]"/>
  </connection>
  <connection id="4" xr16:uid="{2B6C822B-5522-47AA-9438-032823E65140}" keepAlive="1" name="Consulta - 4-ContratacaoEquipe" description="Conexão com a consulta '4-ContratacaoEquipe' na pasta de trabalho." type="5" refreshedVersion="8" background="1" saveData="1">
    <dbPr connection="Provider=Microsoft.Mashup.OleDb.1;Data Source=$Workbook$;Location=4-ContratacaoEquipe;Extended Properties=&quot;&quot;" command="SELECT * FROM [4-ContratacaoEquipe]"/>
  </connection>
  <connection id="5" xr16:uid="{CD3FEF5D-E992-4C84-AC3A-725B79819EED}" keepAlive="1" name="Consulta - 5-Balanceamento" description="Conexão com a consulta '5-Balanceamento' na pasta de trabalho." type="5" refreshedVersion="8" background="1" saveData="1">
    <dbPr connection="Provider=Microsoft.Mashup.OleDb.1;Data Source=$Workbook$;Location=5-Balanceamento;Extended Properties=&quot;&quot;" command="SELECT * FROM [5-Balanceamento]"/>
  </connection>
  <connection id="6" xr16:uid="{783C9641-1CA9-49C6-909B-4FF12A681979}" keepAlive="1" name="Consulta - 6-Fluxo" description="Conexão com a consulta '6-Fluxo' na pasta de trabalho." type="5" refreshedVersion="8" background="1" saveData="1">
    <dbPr connection="Provider=Microsoft.Mashup.OleDb.1;Data Source=$Workbook$;Location=6-Fluxo;Extended Properties=&quot;&quot;" command="SELECT * FROM [6-Fluxo]"/>
  </connection>
  <connection id="7" xr16:uid="{7B866D80-28D4-48BB-909B-F86E0E7AB181}" keepAlive="1" name="Consulta - 7-Uso" description="Conexão com a consulta '7-Uso' na pasta de trabalho." type="5" refreshedVersion="8" background="1" saveData="1">
    <dbPr connection="Provider=Microsoft.Mashup.OleDb.1;Data Source=$Workbook$;Location=7-Uso;Extended Properties=&quot;&quot;" command="SELECT * FROM [7-Uso]"/>
  </connection>
</connections>
</file>

<file path=xl/sharedStrings.xml><?xml version="1.0" encoding="utf-8"?>
<sst xmlns="http://schemas.openxmlformats.org/spreadsheetml/2006/main" count="1270" uniqueCount="240">
  <si>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</si>
  <si>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</si>
  <si>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</si>
  <si>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</si>
  <si>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</si>
  <si>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</si>
  <si>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</si>
  <si>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</si>
  <si>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</si>
  <si>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</si>
  <si>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</si>
  <si>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Budget Usage:</t>
  </si>
  <si>
    <t>New Units:</t>
  </si>
  <si>
    <t>Qty</t>
  </si>
  <si>
    <t>Max</t>
  </si>
  <si>
    <t>Use (%)</t>
  </si>
  <si>
    <t>PHC:</t>
  </si>
  <si>
    <t>SHC:</t>
  </si>
  <si>
    <t>THC :</t>
  </si>
  <si>
    <t>Column3</t>
  </si>
  <si>
    <t>Column4</t>
  </si>
  <si>
    <t>Column5</t>
  </si>
  <si>
    <t/>
  </si>
  <si>
    <t>PHC Team Transfers:</t>
  </si>
  <si>
    <t>From</t>
  </si>
  <si>
    <t>To</t>
  </si>
  <si>
    <t>Team</t>
  </si>
  <si>
    <t>Dist</t>
  </si>
  <si>
    <t xml:space="preserve">eSF </t>
  </si>
  <si>
    <t>1.00</t>
  </si>
  <si>
    <t xml:space="preserve">eSB </t>
  </si>
  <si>
    <t>SHC Team Transfers:</t>
  </si>
  <si>
    <t>THC Team Transfers:</t>
  </si>
  <si>
    <t>Location</t>
  </si>
  <si>
    <t>PHC</t>
  </si>
  <si>
    <t>New</t>
  </si>
  <si>
    <t>Hires:</t>
  </si>
  <si>
    <t>eSB</t>
  </si>
  <si>
    <t>SHC</t>
  </si>
  <si>
    <t>THC</t>
  </si>
  <si>
    <t>Column6</t>
  </si>
  <si>
    <t>Column7</t>
  </si>
  <si>
    <t>Column8</t>
  </si>
  <si>
    <t>Column9</t>
  </si>
  <si>
    <t>PHC Locations:</t>
  </si>
  <si>
    <t>Loc</t>
  </si>
  <si>
    <t>CNES</t>
  </si>
  <si>
    <t>Transf</t>
  </si>
  <si>
    <t>Res</t>
  </si>
  <si>
    <t>Surp</t>
  </si>
  <si>
    <t>Def</t>
  </si>
  <si>
    <t>0.0</t>
  </si>
  <si>
    <t>eMulti</t>
  </si>
  <si>
    <t>1.0</t>
  </si>
  <si>
    <t>2.0</t>
  </si>
  <si>
    <t>-1.0</t>
  </si>
  <si>
    <t>Required</t>
  </si>
  <si>
    <t>Result</t>
  </si>
  <si>
    <t>0.00</t>
  </si>
  <si>
    <t>SHC Locations:</t>
  </si>
  <si>
    <t xml:space="preserve">[SHC1 ] </t>
  </si>
  <si>
    <t>3.0</t>
  </si>
  <si>
    <t>THC Locations:</t>
  </si>
  <si>
    <t xml:space="preserve">[THC1 ] </t>
  </si>
  <si>
    <t>Region</t>
  </si>
  <si>
    <t>Pop</t>
  </si>
  <si>
    <t>Flow</t>
  </si>
  <si>
    <t>Reg     &gt; PHC + SHC + THC  :(flow)</t>
  </si>
  <si>
    <t>* Teleconsulta</t>
  </si>
  <si>
    <t>PHC     &gt; Reg + SHC + THC (dest. flow)</t>
  </si>
  <si>
    <t>SHC     &gt; Reg + PHC + THC (dest. flow)</t>
  </si>
  <si>
    <t>L[SHC1]</t>
  </si>
  <si>
    <t>THC     &gt; Reg + PHC + SHC (dest. flow)</t>
  </si>
  <si>
    <t>L[THC1]</t>
  </si>
  <si>
    <t>Capty</t>
  </si>
  <si>
    <t>Met</t>
  </si>
  <si>
    <t>Use(%)</t>
  </si>
  <si>
    <t>3000</t>
  </si>
  <si>
    <t xml:space="preserve"> 96%</t>
  </si>
  <si>
    <t>6000</t>
  </si>
  <si>
    <t>100%</t>
  </si>
  <si>
    <t>9000</t>
  </si>
  <si>
    <t>[PHC1]</t>
  </si>
  <si>
    <t>[PHC2]</t>
  </si>
  <si>
    <t>10</t>
  </si>
  <si>
    <t>[PHC8]</t>
  </si>
  <si>
    <t>[PHC3]</t>
  </si>
  <si>
    <t>[PHC4]</t>
  </si>
  <si>
    <t>[PHC5]</t>
  </si>
  <si>
    <t>3.00</t>
  </si>
  <si>
    <t>[SHC5]</t>
  </si>
  <si>
    <t xml:space="preserve">ME2 </t>
  </si>
  <si>
    <t>20</t>
  </si>
  <si>
    <t>[SHC4]</t>
  </si>
  <si>
    <t xml:space="preserve">EF2 </t>
  </si>
  <si>
    <t xml:space="preserve">DE2 </t>
  </si>
  <si>
    <t>[THC1]</t>
  </si>
  <si>
    <t xml:space="preserve">ME3 </t>
  </si>
  <si>
    <t>25</t>
  </si>
  <si>
    <t>[THC3]</t>
  </si>
  <si>
    <t xml:space="preserve">EF3 </t>
  </si>
  <si>
    <t xml:space="preserve">DE3 </t>
  </si>
  <si>
    <t>Req</t>
  </si>
  <si>
    <t xml:space="preserve">[PHC1 ] </t>
  </si>
  <si>
    <t>4.0</t>
  </si>
  <si>
    <t>-2.0</t>
  </si>
  <si>
    <t xml:space="preserve">[PHC2 ] </t>
  </si>
  <si>
    <t xml:space="preserve">[PHC3 ] </t>
  </si>
  <si>
    <t xml:space="preserve">[PHC4 ] </t>
  </si>
  <si>
    <t>-3.0</t>
  </si>
  <si>
    <t xml:space="preserve">[PHC5 ] </t>
  </si>
  <si>
    <t xml:space="preserve">[PHC6 ] </t>
  </si>
  <si>
    <t>[PHC8 ]*</t>
  </si>
  <si>
    <t>13.00</t>
  </si>
  <si>
    <t>0.7</t>
  </si>
  <si>
    <t>2.3</t>
  </si>
  <si>
    <t>0.3</t>
  </si>
  <si>
    <t xml:space="preserve">[SHC2 ] </t>
  </si>
  <si>
    <t>3.3</t>
  </si>
  <si>
    <t xml:space="preserve">[SHC3 ] </t>
  </si>
  <si>
    <t>5.0</t>
  </si>
  <si>
    <t xml:space="preserve">[SHC4 ] </t>
  </si>
  <si>
    <t>6.0</t>
  </si>
  <si>
    <t>[SHC5 ]*</t>
  </si>
  <si>
    <t>0.2</t>
  </si>
  <si>
    <t>0.8</t>
  </si>
  <si>
    <t>1.8</t>
  </si>
  <si>
    <t xml:space="preserve">[THC2 ] </t>
  </si>
  <si>
    <t xml:space="preserve">[THC3 ] </t>
  </si>
  <si>
    <t>&gt;</t>
  </si>
  <si>
    <t>L[PHC1]</t>
  </si>
  <si>
    <t>L[PHC2]</t>
  </si>
  <si>
    <t>L[PHC3]</t>
  </si>
  <si>
    <t>L[PHC4]</t>
  </si>
  <si>
    <t>L[PHC5]</t>
  </si>
  <si>
    <t>L[PHC6]</t>
  </si>
  <si>
    <t>L[PHC8]</t>
  </si>
  <si>
    <t>L[SHC2]</t>
  </si>
  <si>
    <t>L[SHC3]</t>
  </si>
  <si>
    <t>L[SHC4]</t>
  </si>
  <si>
    <t>L[SHC5]</t>
  </si>
  <si>
    <t>L[THC2]</t>
  </si>
  <si>
    <t>L[THC3]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</si>
  <si>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</si>
  <si>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</si>
  <si>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</si>
  <si>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</si>
  <si>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</si>
  <si>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</si>
  <si>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</si>
  <si>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</si>
  <si>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</si>
  <si>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</si>
  <si>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</si>
  <si>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</si>
  <si>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</si>
  <si>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</si>
  <si>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</si>
  <si>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M[1]</t>
  </si>
  <si>
    <t>M[2]</t>
  </si>
  <si>
    <t>M[3]</t>
  </si>
  <si>
    <t>M[4]</t>
  </si>
  <si>
    <t>M[5]</t>
  </si>
  <si>
    <t>M[6]</t>
  </si>
  <si>
    <t>M[7]</t>
  </si>
  <si>
    <t>M[8]</t>
  </si>
  <si>
    <t>M[9]</t>
  </si>
  <si>
    <t>M[10]</t>
  </si>
  <si>
    <t>M[11]</t>
  </si>
  <si>
    <t>M[12]</t>
  </si>
  <si>
    <t>M[13]</t>
  </si>
  <si>
    <t>M[14]</t>
  </si>
  <si>
    <t>M[15]</t>
  </si>
  <si>
    <t>1000</t>
  </si>
  <si>
    <t>2000</t>
  </si>
  <si>
    <t>4000</t>
  </si>
  <si>
    <t>5000</t>
  </si>
  <si>
    <t>L[PHC1]*</t>
  </si>
  <si>
    <t>L[PHC5]*</t>
  </si>
  <si>
    <t>L[PHC4]*</t>
  </si>
  <si>
    <t>L[PHC3]*</t>
  </si>
  <si>
    <t>L[SHC4]*</t>
  </si>
  <si>
    <t>L[SHC5]*</t>
  </si>
  <si>
    <t>L[PHC2]*</t>
  </si>
  <si>
    <t>L[PHC8]*</t>
  </si>
  <si>
    <t>L[PHC6]*</t>
  </si>
  <si>
    <t>500</t>
  </si>
  <si>
    <t>[PHC6]</t>
  </si>
  <si>
    <t>800</t>
  </si>
  <si>
    <t>[PHC7]</t>
  </si>
  <si>
    <t>2.00</t>
  </si>
  <si>
    <t>[THC5]</t>
  </si>
  <si>
    <t>[PHC7]*</t>
  </si>
  <si>
    <t>[PHC7 ]*</t>
  </si>
  <si>
    <t>4.3</t>
  </si>
  <si>
    <t>1.7</t>
  </si>
  <si>
    <t>4.8</t>
  </si>
  <si>
    <t>[THC5 ]*</t>
  </si>
  <si>
    <t>L[PHC7]</t>
  </si>
  <si>
    <t>L[PHC7]*</t>
  </si>
  <si>
    <t>L[2   ]</t>
  </si>
  <si>
    <t>L[11  ]</t>
  </si>
  <si>
    <t>5784</t>
  </si>
  <si>
    <t>L[3   ]</t>
  </si>
  <si>
    <t>L[7   ]</t>
  </si>
  <si>
    <t>L[12  ]</t>
  </si>
  <si>
    <t>L[THC5]</t>
  </si>
  <si>
    <t>L[15  ]</t>
  </si>
  <si>
    <t>L[8   ]</t>
  </si>
  <si>
    <t>L[1   ]</t>
  </si>
  <si>
    <t>L[9   ]</t>
  </si>
  <si>
    <t>L[13  ]</t>
  </si>
  <si>
    <t>L[4   ]</t>
  </si>
  <si>
    <t>L[5   ]</t>
  </si>
  <si>
    <t>L[10  ]</t>
  </si>
  <si>
    <t>5480</t>
  </si>
  <si>
    <t>L[14  ]</t>
  </si>
  <si>
    <t>L[6   ]</t>
  </si>
  <si>
    <t>681</t>
  </si>
  <si>
    <t>781</t>
  </si>
  <si>
    <t>[PHC1 ]</t>
  </si>
  <si>
    <t>[PHC2 ]</t>
  </si>
  <si>
    <t>[PHC3 ]</t>
  </si>
  <si>
    <t>[PHC4 ]</t>
  </si>
  <si>
    <t>[PHC5 ]</t>
  </si>
  <si>
    <t>[PHC6 ]</t>
  </si>
  <si>
    <t>[PHC7 *]:</t>
  </si>
  <si>
    <t>[PHC8 *]:</t>
  </si>
  <si>
    <t xml:space="preserve"> 61%</t>
  </si>
  <si>
    <t>[SHC1  ]</t>
  </si>
  <si>
    <t>[SHC2  ]</t>
  </si>
  <si>
    <t>[SHC3  ]</t>
  </si>
  <si>
    <t>[SHC4  ]</t>
  </si>
  <si>
    <t>[SHC5 *]</t>
  </si>
  <si>
    <t xml:space="preserve"> 34%</t>
  </si>
  <si>
    <t>[THC1  ]</t>
  </si>
  <si>
    <t xml:space="preserve"> 98%</t>
  </si>
  <si>
    <t>[THC2  ]</t>
  </si>
  <si>
    <t>[THC3  ]</t>
  </si>
  <si>
    <t>[THC5 *]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</si>
</sst>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9" fontId="0" fillId="0" borderId="0" xfId="2" applyFont="1"/>
    <xf numFmtId="0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NOVAS UNIDADES DE SAÚDE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'2-NovasUnidades'!$D$1</c:f>
              <c:strCache>
                <c:ptCount val="1"/>
                <c:pt idx="0">
                  <c:v>Use (%)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'2-NovasUnidades'!$A$2:$A$4</c:f>
              <c:strCache>
                <c:ptCount val="3"/>
                <c:pt idx="0">
                  <c:v>PHC:</c:v>
                </c:pt>
                <c:pt idx="1">
                  <c:v>SHC:</c:v>
                </c:pt>
                <c:pt idx="2">
                  <c:v>THC :</c:v>
                </c:pt>
              </c:strCache>
            </c:strRef>
          </c:cat>
          <c:val>
            <c:numRef>
              <c:f>'2-NovasUnidades'!$D$2:$D$4</c:f>
              <c:numCache>
                <c:formatCode>General</c:formatCode>
                <c:ptCount val="3"/>
                <c:pt idx="0">
                  <c:v>100</c:v>
                </c:pt>
                <c:pt idx="1">
                  <c:v>33.33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82-4DB0-95B4-CDD3DAFA7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100"/>
        <c:axId val="311408671"/>
        <c:axId val="311403871"/>
      </c:barChart>
      <c:lineChart>
        <c:grouping val="standard"/>
        <c:varyColors val="0"/>
        <c:ser>
          <c:idx val="0"/>
          <c:order val="0"/>
          <c:tx>
            <c:strRef>
              <c:f>'2-NovasUnidades'!$B$1</c:f>
              <c:strCache>
                <c:ptCount val="1"/>
                <c:pt idx="0">
                  <c:v>Qty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'2-NovasUnidades'!$A$2:$A$4</c:f>
              <c:strCache>
                <c:ptCount val="3"/>
                <c:pt idx="0">
                  <c:v>PHC:</c:v>
                </c:pt>
                <c:pt idx="1">
                  <c:v>SHC:</c:v>
                </c:pt>
                <c:pt idx="2">
                  <c:v>THC :</c:v>
                </c:pt>
              </c:strCache>
            </c:strRef>
          </c:cat>
          <c:val>
            <c:numRef>
              <c:f>'2-NovasUnidades'!$B$2:$B$4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2-4DB0-95B4-CDD3DAFA7623}"/>
            </c:ext>
          </c:extLst>
        </c:ser>
        <c:ser>
          <c:idx val="1"/>
          <c:order val="1"/>
          <c:tx>
            <c:strRef>
              <c:f>'2-NovasUnidades'!$C$1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'2-NovasUnidades'!$A$2:$A$4</c:f>
              <c:strCache>
                <c:ptCount val="3"/>
                <c:pt idx="0">
                  <c:v>PHC:</c:v>
                </c:pt>
                <c:pt idx="1">
                  <c:v>SHC:</c:v>
                </c:pt>
                <c:pt idx="2">
                  <c:v>THC :</c:v>
                </c:pt>
              </c:strCache>
            </c:strRef>
          </c:cat>
          <c:val>
            <c:numRef>
              <c:f>'2-NovasUnidades'!$C$2:$C$4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2-4DB0-95B4-CDD3DAFA7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3638480"/>
        <c:axId val="1783641360"/>
      </c:lineChart>
      <c:catAx>
        <c:axId val="178363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641360"/>
        <c:crosses val="autoZero"/>
        <c:auto val="1"/>
        <c:lblAlgn val="ctr"/>
        <c:lblOffset val="100"/>
        <c:noMultiLvlLbl val="0"/>
      </c:catAx>
      <c:valAx>
        <c:axId val="178364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638480"/>
        <c:crosses val="autoZero"/>
        <c:crossBetween val="between"/>
        <c:majorUnit val="1"/>
      </c:valAx>
      <c:valAx>
        <c:axId val="311403871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1408671"/>
        <c:crosses val="max"/>
        <c:crossBetween val="between"/>
      </c:valAx>
      <c:catAx>
        <c:axId val="311408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14038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_xlchart.v1.2</cx:f>
      </cx:numDim>
    </cx:data>
    <cx:data id="1">
      <cx:strDim type="cat">
        <cx:f>_xlchart.v1.1</cx:f>
      </cx:strDim>
      <cx:numDim type="val">
        <cx:f>_xlchart.v1.3</cx:f>
      </cx:numDim>
    </cx:data>
  </cx:chartData>
  <cx:chart>
    <cx:title pos="t" align="ctr" overlay="0">
      <cx:tx>
        <cx:txData>
          <cx:v>CUSTOS DE OPERAÇÃO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CUSTOS DE OPERAÇÃO</a:t>
          </a:r>
        </a:p>
      </cx:txPr>
    </cx:title>
    <cx:plotArea>
      <cx:plotAreaRegion>
        <cx:series layoutId="waterfall" hidden="1" uniqueId="{E0C4B1E7-86F2-406E-B669-2770430EB0F1}" formatIdx="0">
          <cx:dataId val="0"/>
          <cx:layoutPr>
            <cx:subtotals/>
          </cx:layoutPr>
        </cx:series>
        <cx:series layoutId="waterfall" uniqueId="{80ACE3B6-CCEA-4532-8A82-333D664C88B9}" formatIdx="1">
          <cx:dataId val="1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pt-BR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G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pt-BR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50"/>
          </a:pPr>
          <a:endParaRPr lang="pt-BR" sz="105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71436</xdr:rowOff>
    </xdr:from>
    <xdr:to>
      <xdr:col>19</xdr:col>
      <xdr:colOff>581025</xdr:colOff>
      <xdr:row>19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D4DF469-9743-AC46-4E7D-B5F5FACF86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71436"/>
              <a:ext cx="7848600" cy="35766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0</xdr:row>
      <xdr:rowOff>42862</xdr:rowOff>
    </xdr:from>
    <xdr:to>
      <xdr:col>17</xdr:col>
      <xdr:colOff>352425</xdr:colOff>
      <xdr:row>14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D12233-3029-384A-6BC2-7BA513E99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E6E341C-3426-470C-83D3-BA98B9EDB1A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460ADE3-19A7-4F1A-8A8F-C23AE45B0ECE}" autoFormatId="16" applyNumberFormats="0" applyBorderFormats="0" applyFontFormats="0" applyPatternFormats="0" applyAlignmentFormats="0" applyWidthHeightFormats="0">
  <queryTableRefresh nextId="5">
    <queryTableFields count="4">
      <queryTableField id="1" name="New Units:" tableColumnId="1"/>
      <queryTableField id="2" name="Qty" tableColumnId="2"/>
      <queryTableField id="3" name="Max" tableColumnId="3"/>
      <queryTableField id="4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A6D14A62-B850-4C74-8FA8-0C465A30286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55C7653D-5FEE-4EE8-92FF-5BFE9E7DDCA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98E80155-C74D-4877-B9F7-4178AFEF760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3A3230FC-10DB-4CEC-B2B0-EB407F7E7861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Pop" tableColumnId="2"/>
      <queryTableField id="3" name="Flow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618C731B-BAA7-44C0-A4B0-8B4BF6CBDC1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49662-350F-47A5-A2B3-0A18E446B147}" name="_1_Financeiro" displayName="_1_Financeiro" ref="A1:C11" tableType="queryTable" totalsRowShown="0">
  <autoFilter ref="A1:C11" xr:uid="{0A449662-350F-47A5-A2B3-0A18E446B147}"/>
  <tableColumns count="3">
    <tableColumn id="1" xr3:uid="{12A7EBB8-5425-43FC-B169-82E7A39C4C50}" uniqueName="1" name="Column1" queryTableFieldId="1" dataDxfId="26"/>
    <tableColumn id="2" xr3:uid="{CC18C808-E762-47E5-A55A-3F73C30A25C7}" uniqueName="2" name="Column2" queryTableFieldId="2" dataDxfId="1" dataCellStyle="Moeda"/>
    <tableColumn id="3" xr3:uid="{56964BAB-584F-481F-B1DE-2B76100041B9}" uniqueName="3" name="Column3" queryTableFieldId="3" dataDxfId="0" dataCellStyle="Moeda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F78E35-A737-42D9-A595-06F31EFCC63C}" name="_2_NovasUnidades" displayName="_2_NovasUnidades" ref="A1:D4" tableType="queryTable" totalsRowShown="0">
  <autoFilter ref="A1:D4" xr:uid="{3EF78E35-A737-42D9-A595-06F31EFCC63C}"/>
  <tableColumns count="4">
    <tableColumn id="1" xr3:uid="{94FF5785-B385-473B-AAA7-FEDA525C0570}" uniqueName="1" name="New Units:" queryTableFieldId="1" dataDxfId="2"/>
    <tableColumn id="2" xr3:uid="{2504C7C2-67A1-4B12-800A-75DD37800FA4}" uniqueName="2" name="Qty" queryTableFieldId="2"/>
    <tableColumn id="3" xr3:uid="{00B9F50D-6365-4D8A-9F44-13FD2165D602}" uniqueName="3" name="Max" queryTableFieldId="3"/>
    <tableColumn id="4" xr3:uid="{951DE659-E8CD-428F-8901-26A9F5DE6116}" uniqueName="4" name="Use (%)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BE19F2-2286-4302-8B58-E8CDA6846A37}" name="_3_RealocacaoEquipe" displayName="_3_RealocacaoEquipe" ref="A1:E29" tableType="queryTable" totalsRowShown="0">
  <autoFilter ref="A1:E29" xr:uid="{50BE19F2-2286-4302-8B58-E8CDA6846A37}"/>
  <tableColumns count="5">
    <tableColumn id="1" xr3:uid="{535657DC-61FA-46F3-A257-46168374FEAD}" uniqueName="1" name="Column1" queryTableFieldId="1" dataDxfId="25"/>
    <tableColumn id="2" xr3:uid="{3D554541-F7B1-41A9-9411-85EECAC3B6DA}" uniqueName="2" name="Column2" queryTableFieldId="2" dataDxfId="24"/>
    <tableColumn id="3" xr3:uid="{4536833F-B7B4-4D37-8CE2-B3F983D0E37A}" uniqueName="3" name="Column3" queryTableFieldId="3" dataDxfId="23"/>
    <tableColumn id="4" xr3:uid="{6731C199-2D17-498B-A545-54C90B10B675}" uniqueName="4" name="Column4" queryTableFieldId="4" dataDxfId="22"/>
    <tableColumn id="5" xr3:uid="{C68C7AB7-FE16-4A34-ADE5-70FF5F3D7FA3}" uniqueName="5" name="Column5" queryTableFieldId="5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0A0B4C-E787-4572-93D8-845F256958AB}" name="_4_ContratacaoEquipe" displayName="_4_ContratacaoEquipe" ref="A1:C16" tableType="queryTable" totalsRowShown="0">
  <autoFilter ref="A1:C16" xr:uid="{810A0B4C-E787-4572-93D8-845F256958AB}"/>
  <tableColumns count="3">
    <tableColumn id="1" xr3:uid="{1629A679-DF67-4F6E-8D18-9943C4EB3314}" uniqueName="1" name="Column1" queryTableFieldId="1" dataDxfId="5"/>
    <tableColumn id="2" xr3:uid="{1B024B98-DC97-4B24-97EE-7140033E316A}" uniqueName="2" name="Column2" queryTableFieldId="2" dataDxfId="4"/>
    <tableColumn id="3" xr3:uid="{3C366628-95A8-4674-AA53-BCFB635B6DE0}" uniqueName="3" name="Column3" queryTableFieldId="3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171913-1CBF-4389-881F-3416286414D3}" name="_5_Balanceamento" displayName="_5_Balanceamento" ref="A1:I64" tableType="queryTable" totalsRowShown="0">
  <autoFilter ref="A1:I64" xr:uid="{48171913-1CBF-4389-881F-3416286414D3}"/>
  <tableColumns count="9">
    <tableColumn id="1" xr3:uid="{C54015E2-88D0-4A8B-B652-DC77AADB47F0}" uniqueName="1" name="Column1" queryTableFieldId="1" dataDxfId="20"/>
    <tableColumn id="2" xr3:uid="{5DD31F0B-03B6-4100-88CC-C21485EEA7C6}" uniqueName="2" name="Column2" queryTableFieldId="2" dataDxfId="19"/>
    <tableColumn id="3" xr3:uid="{5ABACC48-1D51-4C29-89E0-6CD3738728EF}" uniqueName="3" name="Column3" queryTableFieldId="3" dataDxfId="18"/>
    <tableColumn id="4" xr3:uid="{FE0FFD18-9EA2-4A2B-87E8-1F8D6AE13934}" uniqueName="4" name="Column4" queryTableFieldId="4" dataDxfId="17"/>
    <tableColumn id="5" xr3:uid="{C05743E8-95BC-4735-805D-D03AB540D086}" uniqueName="5" name="Column5" queryTableFieldId="5" dataDxfId="16"/>
    <tableColumn id="6" xr3:uid="{8CF9C637-5EBA-47C4-918A-EE48953DDD58}" uniqueName="6" name="Column6" queryTableFieldId="6" dataDxfId="15"/>
    <tableColumn id="7" xr3:uid="{C515E346-6A91-4AD0-BDA0-179C12208A7B}" uniqueName="7" name="Column7" queryTableFieldId="7" dataDxfId="14"/>
    <tableColumn id="8" xr3:uid="{0D3493CF-9C03-4057-B830-9C9C4C83AB16}" uniqueName="8" name="Column8" queryTableFieldId="8" dataDxfId="13"/>
    <tableColumn id="9" xr3:uid="{7AC4438F-520F-47D0-B7C8-530C2DD10F4E}" uniqueName="9" name="Column9" queryTableFieldId="9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2F58F0-D67F-409B-92AD-D467C08DABCB}" name="_6_Fluxo" displayName="_6_Fluxo" ref="A1:C190" tableType="queryTable" totalsRowShown="0">
  <autoFilter ref="A1:C190" xr:uid="{EF2F58F0-D67F-409B-92AD-D467C08DABCB}"/>
  <tableColumns count="3">
    <tableColumn id="1" xr3:uid="{9C0F9377-4E8B-475C-9550-55CA76CED825}" uniqueName="1" name="Region" queryTableFieldId="1" dataDxfId="11"/>
    <tableColumn id="2" xr3:uid="{EBC3308E-9B40-46A8-981E-68A7000EC615}" uniqueName="2" name="Pop" queryTableFieldId="2" dataDxfId="10"/>
    <tableColumn id="3" xr3:uid="{BBC5A82B-C968-4104-943B-5DA4F642D2C7}" uniqueName="3" name="Flow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0E10A2-B19D-458F-A23E-044569792242}" name="_7_Uso" displayName="_7_Uso" ref="A1:D25" tableType="queryTable" totalsRowShown="0">
  <autoFilter ref="A1:D25" xr:uid="{240E10A2-B19D-458F-A23E-044569792242}"/>
  <tableColumns count="4">
    <tableColumn id="1" xr3:uid="{35C5F271-86CB-46E1-A242-AF7DE7FC83D1}" uniqueName="1" name="Column1" queryTableFieldId="1" dataDxfId="9"/>
    <tableColumn id="2" xr3:uid="{7D0E8D8C-68CA-42F9-9C6D-58452978063B}" uniqueName="2" name="Column2" queryTableFieldId="2" dataDxfId="8"/>
    <tableColumn id="3" xr3:uid="{21FE51A5-3714-4804-AD71-BB466732398D}" uniqueName="3" name="Column3" queryTableFieldId="3" dataDxfId="7"/>
    <tableColumn id="4" xr3:uid="{D4AB528F-91A3-4234-AF71-4953BB17F089}" uniqueName="4" name="Column4" queryTableFieldId="4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3C46-D05B-40DF-9EF1-5A3927F4D577}">
  <dimension ref="A1:C11"/>
  <sheetViews>
    <sheetView tabSelected="1" workbookViewId="0">
      <selection activeCell="C3" activeCellId="4" sqref="C7 C6 C5 C4 C3"/>
    </sheetView>
  </sheetViews>
  <sheetFormatPr defaultRowHeight="15" x14ac:dyDescent="0.25"/>
  <cols>
    <col min="1" max="1" width="21.140625" bestFit="1" customWidth="1"/>
    <col min="2" max="2" width="11.42578125" hidden="1" customWidth="1"/>
    <col min="3" max="3" width="15.8554687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2</v>
      </c>
      <c r="B2" s="2">
        <v>58211453</v>
      </c>
      <c r="C2" s="1">
        <f>_1_Financeiro[[#This Row],[Column2]]/100</f>
        <v>582114.53</v>
      </c>
    </row>
    <row r="3" spans="1:3" x14ac:dyDescent="0.25">
      <c r="A3" t="s">
        <v>3</v>
      </c>
      <c r="B3" s="2">
        <v>1070000</v>
      </c>
      <c r="C3" s="1">
        <f>_1_Financeiro[[#This Row],[Column2]]/100</f>
        <v>10700</v>
      </c>
    </row>
    <row r="4" spans="1:3" x14ac:dyDescent="0.25">
      <c r="A4" t="s">
        <v>4</v>
      </c>
      <c r="B4" s="2">
        <v>1023400</v>
      </c>
      <c r="C4" s="1">
        <f>_1_Financeiro[[#This Row],[Column2]]/100</f>
        <v>10234</v>
      </c>
    </row>
    <row r="5" spans="1:3" x14ac:dyDescent="0.25">
      <c r="A5" t="s">
        <v>5</v>
      </c>
      <c r="B5" s="2">
        <v>3000</v>
      </c>
      <c r="C5" s="1">
        <f>_1_Financeiro[[#This Row],[Column2]]/100</f>
        <v>30</v>
      </c>
    </row>
    <row r="6" spans="1:3" x14ac:dyDescent="0.25">
      <c r="A6" t="s">
        <v>6</v>
      </c>
      <c r="B6" s="2">
        <v>26000</v>
      </c>
      <c r="C6" s="1">
        <f>_1_Financeiro[[#This Row],[Column2]]/100</f>
        <v>260</v>
      </c>
    </row>
    <row r="7" spans="1:3" x14ac:dyDescent="0.25">
      <c r="A7" t="s">
        <v>7</v>
      </c>
      <c r="B7" s="2">
        <v>25722975</v>
      </c>
      <c r="C7" s="1">
        <f>_1_Financeiro[[#This Row],[Column2]]/100</f>
        <v>257229.75</v>
      </c>
    </row>
    <row r="8" spans="1:3" x14ac:dyDescent="0.25">
      <c r="A8" t="s">
        <v>8</v>
      </c>
      <c r="B8" s="2">
        <v>212350763</v>
      </c>
      <c r="C8" s="1">
        <f>_1_Financeiro[[#This Row],[Column2]]/100</f>
        <v>2123507.63</v>
      </c>
    </row>
    <row r="9" spans="1:3" x14ac:dyDescent="0.25">
      <c r="A9" t="s">
        <v>9</v>
      </c>
      <c r="B9" s="2">
        <v>27845375</v>
      </c>
      <c r="C9" s="1">
        <f>_1_Financeiro[[#This Row],[Column2]]/100</f>
        <v>278453.75</v>
      </c>
    </row>
    <row r="10" spans="1:3" x14ac:dyDescent="0.25">
      <c r="A10" t="s">
        <v>10</v>
      </c>
      <c r="B10" s="2">
        <v>40000000</v>
      </c>
      <c r="C10" s="1">
        <f>_1_Financeiro[[#This Row],[Column2]]/100</f>
        <v>400000</v>
      </c>
    </row>
    <row r="11" spans="1:3" x14ac:dyDescent="0.25">
      <c r="A11" t="s">
        <v>11</v>
      </c>
      <c r="B11" s="3">
        <v>69.61</v>
      </c>
      <c r="C11" s="4">
        <f>_1_Financeiro[[#This Row],[Column2]]/100</f>
        <v>0.69609999999999994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AD00-489D-4623-BA87-E363E3002E0A}">
  <dimension ref="A1:D4"/>
  <sheetViews>
    <sheetView workbookViewId="0">
      <selection activeCell="P6" sqref="P6"/>
    </sheetView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16</v>
      </c>
      <c r="B2">
        <v>2</v>
      </c>
      <c r="C2">
        <v>2</v>
      </c>
      <c r="D2">
        <v>100</v>
      </c>
    </row>
    <row r="3" spans="1:4" x14ac:dyDescent="0.25">
      <c r="A3" t="s">
        <v>17</v>
      </c>
      <c r="B3">
        <v>1</v>
      </c>
      <c r="C3">
        <v>3</v>
      </c>
      <c r="D3">
        <v>33.33</v>
      </c>
    </row>
    <row r="4" spans="1:4" x14ac:dyDescent="0.25">
      <c r="A4" t="s">
        <v>18</v>
      </c>
      <c r="B4">
        <v>1</v>
      </c>
      <c r="C4">
        <v>2</v>
      </c>
      <c r="D4">
        <v>50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F5B2-876D-4AA6-9004-D7D0B6A6028B}">
  <dimension ref="A1:E29"/>
  <sheetViews>
    <sheetView workbookViewId="0">
      <selection activeCell="A2" sqref="A2"/>
    </sheetView>
  </sheetViews>
  <sheetFormatPr defaultRowHeight="15" x14ac:dyDescent="0.25"/>
  <cols>
    <col min="1" max="1" width="19.42578125" bestFit="1" customWidth="1"/>
    <col min="2" max="5" width="11.42578125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t="s">
        <v>23</v>
      </c>
      <c r="B2" t="s">
        <v>22</v>
      </c>
      <c r="C2" t="s">
        <v>22</v>
      </c>
      <c r="D2" t="s">
        <v>22</v>
      </c>
      <c r="E2" t="s">
        <v>22</v>
      </c>
    </row>
    <row r="3" spans="1:5" x14ac:dyDescent="0.25">
      <c r="A3" t="s">
        <v>24</v>
      </c>
      <c r="B3" t="s">
        <v>25</v>
      </c>
      <c r="C3" t="s">
        <v>26</v>
      </c>
      <c r="D3" t="s">
        <v>13</v>
      </c>
      <c r="E3" t="s">
        <v>27</v>
      </c>
    </row>
    <row r="4" spans="1:5" x14ac:dyDescent="0.25">
      <c r="A4" t="s">
        <v>82</v>
      </c>
      <c r="B4" t="s">
        <v>189</v>
      </c>
      <c r="C4" t="s">
        <v>28</v>
      </c>
      <c r="D4" t="s">
        <v>29</v>
      </c>
      <c r="E4" t="s">
        <v>84</v>
      </c>
    </row>
    <row r="5" spans="1:5" x14ac:dyDescent="0.25">
      <c r="A5" t="s">
        <v>82</v>
      </c>
      <c r="B5" t="s">
        <v>85</v>
      </c>
      <c r="C5" t="s">
        <v>28</v>
      </c>
      <c r="D5" t="s">
        <v>190</v>
      </c>
      <c r="E5" t="s">
        <v>84</v>
      </c>
    </row>
    <row r="6" spans="1:5" x14ac:dyDescent="0.25">
      <c r="A6" t="s">
        <v>86</v>
      </c>
      <c r="B6" t="s">
        <v>83</v>
      </c>
      <c r="C6" t="s">
        <v>28</v>
      </c>
      <c r="D6" t="s">
        <v>29</v>
      </c>
      <c r="E6" t="s">
        <v>84</v>
      </c>
    </row>
    <row r="7" spans="1:5" x14ac:dyDescent="0.25">
      <c r="A7" t="s">
        <v>86</v>
      </c>
      <c r="B7" t="s">
        <v>187</v>
      </c>
      <c r="C7" t="s">
        <v>28</v>
      </c>
      <c r="D7" t="s">
        <v>29</v>
      </c>
      <c r="E7" t="s">
        <v>84</v>
      </c>
    </row>
    <row r="8" spans="1:5" x14ac:dyDescent="0.25">
      <c r="A8" t="s">
        <v>187</v>
      </c>
      <c r="B8" t="s">
        <v>189</v>
      </c>
      <c r="C8" t="s">
        <v>28</v>
      </c>
      <c r="D8" t="s">
        <v>29</v>
      </c>
      <c r="E8" t="s">
        <v>84</v>
      </c>
    </row>
    <row r="9" spans="1:5" x14ac:dyDescent="0.25">
      <c r="A9" t="s">
        <v>82</v>
      </c>
      <c r="B9" t="s">
        <v>85</v>
      </c>
      <c r="C9" t="s">
        <v>30</v>
      </c>
      <c r="D9" t="s">
        <v>29</v>
      </c>
      <c r="E9" t="s">
        <v>84</v>
      </c>
    </row>
    <row r="10" spans="1:5" x14ac:dyDescent="0.25">
      <c r="A10" t="s">
        <v>83</v>
      </c>
      <c r="B10" t="s">
        <v>82</v>
      </c>
      <c r="C10" t="s">
        <v>30</v>
      </c>
      <c r="D10" t="s">
        <v>29</v>
      </c>
      <c r="E10" t="s">
        <v>84</v>
      </c>
    </row>
    <row r="11" spans="1:5" x14ac:dyDescent="0.25">
      <c r="A11" t="s">
        <v>87</v>
      </c>
      <c r="B11" t="s">
        <v>88</v>
      </c>
      <c r="C11" t="s">
        <v>30</v>
      </c>
      <c r="D11" t="s">
        <v>29</v>
      </c>
      <c r="E11" t="s">
        <v>84</v>
      </c>
    </row>
    <row r="12" spans="1:5" x14ac:dyDescent="0.25">
      <c r="A12" t="s">
        <v>87</v>
      </c>
      <c r="B12" t="s">
        <v>85</v>
      </c>
      <c r="C12" t="s">
        <v>30</v>
      </c>
      <c r="D12" t="s">
        <v>29</v>
      </c>
      <c r="E12" t="s">
        <v>84</v>
      </c>
    </row>
    <row r="13" spans="1:5" x14ac:dyDescent="0.25">
      <c r="A13" t="s">
        <v>22</v>
      </c>
      <c r="B13" t="s">
        <v>22</v>
      </c>
      <c r="C13" t="s">
        <v>22</v>
      </c>
      <c r="D13" t="s">
        <v>22</v>
      </c>
      <c r="E13" t="s">
        <v>22</v>
      </c>
    </row>
    <row r="14" spans="1:5" x14ac:dyDescent="0.25">
      <c r="A14" t="s">
        <v>22</v>
      </c>
      <c r="B14" t="s">
        <v>22</v>
      </c>
      <c r="C14" t="s">
        <v>22</v>
      </c>
      <c r="D14" t="s">
        <v>22</v>
      </c>
      <c r="E14" t="s">
        <v>22</v>
      </c>
    </row>
    <row r="15" spans="1:5" x14ac:dyDescent="0.25">
      <c r="A15" t="s">
        <v>22</v>
      </c>
      <c r="B15" t="s">
        <v>22</v>
      </c>
      <c r="C15" t="s">
        <v>22</v>
      </c>
      <c r="D15" t="s">
        <v>22</v>
      </c>
      <c r="E15" t="s">
        <v>22</v>
      </c>
    </row>
    <row r="16" spans="1:5" x14ac:dyDescent="0.25">
      <c r="A16" t="s">
        <v>31</v>
      </c>
      <c r="B16" t="s">
        <v>22</v>
      </c>
      <c r="C16" t="s">
        <v>22</v>
      </c>
      <c r="D16" t="s">
        <v>22</v>
      </c>
      <c r="E16" t="s">
        <v>22</v>
      </c>
    </row>
    <row r="17" spans="1:5" x14ac:dyDescent="0.25">
      <c r="A17" t="s">
        <v>24</v>
      </c>
      <c r="B17" t="s">
        <v>25</v>
      </c>
      <c r="C17" t="s">
        <v>26</v>
      </c>
      <c r="D17" t="s">
        <v>13</v>
      </c>
      <c r="E17" t="s">
        <v>27</v>
      </c>
    </row>
    <row r="18" spans="1:5" x14ac:dyDescent="0.25">
      <c r="A18" t="s">
        <v>93</v>
      </c>
      <c r="B18" t="s">
        <v>90</v>
      </c>
      <c r="C18" t="s">
        <v>91</v>
      </c>
      <c r="D18" t="s">
        <v>29</v>
      </c>
      <c r="E18" t="s">
        <v>92</v>
      </c>
    </row>
    <row r="19" spans="1:5" x14ac:dyDescent="0.25">
      <c r="A19" t="s">
        <v>93</v>
      </c>
      <c r="B19" t="s">
        <v>90</v>
      </c>
      <c r="C19" t="s">
        <v>94</v>
      </c>
      <c r="D19" t="s">
        <v>29</v>
      </c>
      <c r="E19" t="s">
        <v>92</v>
      </c>
    </row>
    <row r="20" spans="1:5" x14ac:dyDescent="0.25">
      <c r="A20" t="s">
        <v>93</v>
      </c>
      <c r="B20" t="s">
        <v>90</v>
      </c>
      <c r="C20" t="s">
        <v>95</v>
      </c>
      <c r="D20" t="s">
        <v>29</v>
      </c>
      <c r="E20" t="s">
        <v>92</v>
      </c>
    </row>
    <row r="21" spans="1:5" x14ac:dyDescent="0.25">
      <c r="A21" t="s">
        <v>22</v>
      </c>
      <c r="B21" t="s">
        <v>22</v>
      </c>
      <c r="C21" t="s">
        <v>22</v>
      </c>
      <c r="D21" t="s">
        <v>22</v>
      </c>
      <c r="E21" t="s">
        <v>22</v>
      </c>
    </row>
    <row r="22" spans="1:5" x14ac:dyDescent="0.25">
      <c r="A22" t="s">
        <v>22</v>
      </c>
      <c r="B22" t="s">
        <v>22</v>
      </c>
      <c r="C22" t="s">
        <v>22</v>
      </c>
      <c r="D22" t="s">
        <v>22</v>
      </c>
      <c r="E22" t="s">
        <v>22</v>
      </c>
    </row>
    <row r="23" spans="1:5" x14ac:dyDescent="0.25">
      <c r="A23" t="s">
        <v>22</v>
      </c>
      <c r="B23" t="s">
        <v>22</v>
      </c>
      <c r="C23" t="s">
        <v>22</v>
      </c>
      <c r="D23" t="s">
        <v>22</v>
      </c>
      <c r="E23" t="s">
        <v>22</v>
      </c>
    </row>
    <row r="24" spans="1:5" x14ac:dyDescent="0.25">
      <c r="A24" t="s">
        <v>32</v>
      </c>
      <c r="B24" t="s">
        <v>22</v>
      </c>
      <c r="C24" t="s">
        <v>22</v>
      </c>
      <c r="D24" t="s">
        <v>22</v>
      </c>
      <c r="E24" t="s">
        <v>22</v>
      </c>
    </row>
    <row r="25" spans="1:5" x14ac:dyDescent="0.25">
      <c r="A25" t="s">
        <v>24</v>
      </c>
      <c r="B25" t="s">
        <v>25</v>
      </c>
      <c r="C25" t="s">
        <v>26</v>
      </c>
      <c r="D25" t="s">
        <v>13</v>
      </c>
      <c r="E25" t="s">
        <v>27</v>
      </c>
    </row>
    <row r="26" spans="1:5" x14ac:dyDescent="0.25">
      <c r="A26" t="s">
        <v>96</v>
      </c>
      <c r="B26" t="s">
        <v>99</v>
      </c>
      <c r="C26" t="s">
        <v>97</v>
      </c>
      <c r="D26" t="s">
        <v>29</v>
      </c>
      <c r="E26" t="s">
        <v>98</v>
      </c>
    </row>
    <row r="27" spans="1:5" x14ac:dyDescent="0.25">
      <c r="A27" t="s">
        <v>99</v>
      </c>
      <c r="B27" t="s">
        <v>191</v>
      </c>
      <c r="C27" t="s">
        <v>97</v>
      </c>
      <c r="D27" t="s">
        <v>29</v>
      </c>
      <c r="E27" t="s">
        <v>98</v>
      </c>
    </row>
    <row r="28" spans="1:5" x14ac:dyDescent="0.25">
      <c r="A28" t="s">
        <v>99</v>
      </c>
      <c r="B28" t="s">
        <v>191</v>
      </c>
      <c r="C28" t="s">
        <v>100</v>
      </c>
      <c r="D28" t="s">
        <v>29</v>
      </c>
      <c r="E28" t="s">
        <v>98</v>
      </c>
    </row>
    <row r="29" spans="1:5" x14ac:dyDescent="0.25">
      <c r="A29" t="s">
        <v>99</v>
      </c>
      <c r="B29" t="s">
        <v>191</v>
      </c>
      <c r="C29" t="s">
        <v>101</v>
      </c>
      <c r="D29" t="s">
        <v>29</v>
      </c>
      <c r="E29" t="s">
        <v>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E6A2-B206-4A3B-ADAF-6A8423DE74D8}">
  <dimension ref="A1:C16"/>
  <sheetViews>
    <sheetView workbookViewId="0">
      <selection activeCell="C4" sqref="C4"/>
    </sheetView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s="5" t="s">
        <v>33</v>
      </c>
      <c r="B2" s="5" t="s">
        <v>26</v>
      </c>
      <c r="C2" s="5" t="s">
        <v>13</v>
      </c>
    </row>
    <row r="3" spans="1:3" x14ac:dyDescent="0.25">
      <c r="A3" s="5" t="s">
        <v>34</v>
      </c>
      <c r="B3" s="5" t="s">
        <v>35</v>
      </c>
      <c r="C3" s="5" t="s">
        <v>36</v>
      </c>
    </row>
    <row r="4" spans="1:3" x14ac:dyDescent="0.25">
      <c r="A4" s="5" t="s">
        <v>33</v>
      </c>
      <c r="B4" s="5" t="s">
        <v>26</v>
      </c>
      <c r="C4" s="5" t="s">
        <v>13</v>
      </c>
    </row>
    <row r="5" spans="1:3" x14ac:dyDescent="0.25">
      <c r="A5" s="5" t="s">
        <v>86</v>
      </c>
      <c r="B5" s="5" t="s">
        <v>37</v>
      </c>
      <c r="C5" s="5" t="s">
        <v>29</v>
      </c>
    </row>
    <row r="6" spans="1:3" x14ac:dyDescent="0.25">
      <c r="A6" s="5" t="s">
        <v>192</v>
      </c>
      <c r="B6" s="5" t="s">
        <v>37</v>
      </c>
      <c r="C6" s="5" t="s">
        <v>190</v>
      </c>
    </row>
    <row r="7" spans="1:3" x14ac:dyDescent="0.25">
      <c r="A7" s="5" t="s">
        <v>22</v>
      </c>
      <c r="B7" s="5" t="s">
        <v>22</v>
      </c>
      <c r="C7" s="5" t="s">
        <v>22</v>
      </c>
    </row>
    <row r="8" spans="1:3" x14ac:dyDescent="0.25">
      <c r="A8" s="5" t="s">
        <v>22</v>
      </c>
      <c r="B8" s="5" t="s">
        <v>22</v>
      </c>
      <c r="C8" s="5" t="s">
        <v>22</v>
      </c>
    </row>
    <row r="9" spans="1:3" x14ac:dyDescent="0.25">
      <c r="A9" s="5" t="s">
        <v>22</v>
      </c>
      <c r="B9" s="5" t="s">
        <v>22</v>
      </c>
      <c r="C9" s="5" t="s">
        <v>22</v>
      </c>
    </row>
    <row r="10" spans="1:3" x14ac:dyDescent="0.25">
      <c r="A10" s="5" t="s">
        <v>38</v>
      </c>
      <c r="B10" s="5" t="s">
        <v>35</v>
      </c>
      <c r="C10" s="5" t="s">
        <v>36</v>
      </c>
    </row>
    <row r="11" spans="1:3" x14ac:dyDescent="0.25">
      <c r="A11" s="5" t="s">
        <v>33</v>
      </c>
      <c r="B11" s="5" t="s">
        <v>26</v>
      </c>
      <c r="C11" s="5" t="s">
        <v>13</v>
      </c>
    </row>
    <row r="12" spans="1:3" x14ac:dyDescent="0.25">
      <c r="A12" s="5" t="s">
        <v>22</v>
      </c>
      <c r="B12" s="5" t="s">
        <v>22</v>
      </c>
      <c r="C12" s="5" t="s">
        <v>22</v>
      </c>
    </row>
    <row r="13" spans="1:3" x14ac:dyDescent="0.25">
      <c r="A13" s="5" t="s">
        <v>22</v>
      </c>
      <c r="B13" s="5" t="s">
        <v>22</v>
      </c>
      <c r="C13" s="5" t="s">
        <v>22</v>
      </c>
    </row>
    <row r="14" spans="1:3" x14ac:dyDescent="0.25">
      <c r="A14" s="5" t="s">
        <v>22</v>
      </c>
      <c r="B14" s="5" t="s">
        <v>22</v>
      </c>
      <c r="C14" s="5" t="s">
        <v>22</v>
      </c>
    </row>
    <row r="15" spans="1:3" x14ac:dyDescent="0.25">
      <c r="A15" s="5" t="s">
        <v>39</v>
      </c>
      <c r="B15" s="5" t="s">
        <v>35</v>
      </c>
      <c r="C15" s="5" t="s">
        <v>36</v>
      </c>
    </row>
    <row r="16" spans="1:3" x14ac:dyDescent="0.25">
      <c r="A16" s="5" t="s">
        <v>33</v>
      </c>
      <c r="B16" s="5" t="s">
        <v>26</v>
      </c>
      <c r="C16" s="5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2B62-27F6-4192-B64B-C6429078D673}">
  <dimension ref="A1:I64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9" width="11.42578125" bestFit="1" customWidth="1"/>
  </cols>
  <sheetData>
    <row r="1" spans="1:9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40</v>
      </c>
      <c r="G1" t="s">
        <v>41</v>
      </c>
      <c r="H1" t="s">
        <v>42</v>
      </c>
      <c r="I1" t="s">
        <v>43</v>
      </c>
    </row>
    <row r="2" spans="1:9" x14ac:dyDescent="0.25">
      <c r="A2" t="s">
        <v>44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</row>
    <row r="3" spans="1:9" x14ac:dyDescent="0.25">
      <c r="A3" t="s">
        <v>45</v>
      </c>
      <c r="B3" t="s">
        <v>26</v>
      </c>
      <c r="C3" t="s">
        <v>46</v>
      </c>
      <c r="D3" t="s">
        <v>102</v>
      </c>
      <c r="E3" t="s">
        <v>47</v>
      </c>
      <c r="F3" t="s">
        <v>35</v>
      </c>
      <c r="G3" t="s">
        <v>48</v>
      </c>
      <c r="H3" t="s">
        <v>49</v>
      </c>
      <c r="I3" t="s">
        <v>50</v>
      </c>
    </row>
    <row r="4" spans="1:9" x14ac:dyDescent="0.25">
      <c r="A4" t="s">
        <v>103</v>
      </c>
      <c r="B4" t="s">
        <v>28</v>
      </c>
      <c r="C4" t="s">
        <v>104</v>
      </c>
      <c r="D4" t="s">
        <v>53</v>
      </c>
      <c r="E4" t="s">
        <v>109</v>
      </c>
      <c r="F4" t="s">
        <v>51</v>
      </c>
      <c r="G4" t="s">
        <v>53</v>
      </c>
      <c r="H4" t="s">
        <v>51</v>
      </c>
      <c r="I4" t="s">
        <v>51</v>
      </c>
    </row>
    <row r="5" spans="1:9" x14ac:dyDescent="0.25">
      <c r="A5" t="s">
        <v>103</v>
      </c>
      <c r="B5" t="s">
        <v>30</v>
      </c>
      <c r="C5" t="s">
        <v>53</v>
      </c>
      <c r="D5" t="s">
        <v>53</v>
      </c>
      <c r="E5" t="s">
        <v>51</v>
      </c>
      <c r="F5" t="s">
        <v>51</v>
      </c>
      <c r="G5" t="s">
        <v>53</v>
      </c>
      <c r="H5" t="s">
        <v>51</v>
      </c>
      <c r="I5" t="s">
        <v>51</v>
      </c>
    </row>
    <row r="6" spans="1:9" x14ac:dyDescent="0.25">
      <c r="A6" t="s">
        <v>103</v>
      </c>
      <c r="B6" t="s">
        <v>52</v>
      </c>
      <c r="C6" t="s">
        <v>53</v>
      </c>
      <c r="D6" t="s">
        <v>51</v>
      </c>
      <c r="E6" t="s">
        <v>51</v>
      </c>
      <c r="F6" t="s">
        <v>51</v>
      </c>
      <c r="G6" t="s">
        <v>53</v>
      </c>
      <c r="H6" t="s">
        <v>53</v>
      </c>
      <c r="I6" t="s">
        <v>51</v>
      </c>
    </row>
    <row r="7" spans="1:9" x14ac:dyDescent="0.25">
      <c r="A7" t="s">
        <v>106</v>
      </c>
      <c r="B7" t="s">
        <v>28</v>
      </c>
      <c r="C7" t="s">
        <v>53</v>
      </c>
      <c r="D7" t="s">
        <v>54</v>
      </c>
      <c r="E7" t="s">
        <v>53</v>
      </c>
      <c r="F7" t="s">
        <v>51</v>
      </c>
      <c r="G7" t="s">
        <v>54</v>
      </c>
      <c r="H7" t="s">
        <v>51</v>
      </c>
      <c r="I7" t="s">
        <v>51</v>
      </c>
    </row>
    <row r="8" spans="1:9" x14ac:dyDescent="0.25">
      <c r="A8" t="s">
        <v>106</v>
      </c>
      <c r="B8" t="s">
        <v>30</v>
      </c>
      <c r="C8" t="s">
        <v>61</v>
      </c>
      <c r="D8" t="s">
        <v>54</v>
      </c>
      <c r="E8" t="s">
        <v>55</v>
      </c>
      <c r="F8" t="s">
        <v>51</v>
      </c>
      <c r="G8" t="s">
        <v>54</v>
      </c>
      <c r="H8" t="s">
        <v>51</v>
      </c>
      <c r="I8" t="s">
        <v>51</v>
      </c>
    </row>
    <row r="9" spans="1:9" x14ac:dyDescent="0.25">
      <c r="A9" t="s">
        <v>106</v>
      </c>
      <c r="B9" t="s">
        <v>52</v>
      </c>
      <c r="C9" t="s">
        <v>51</v>
      </c>
      <c r="D9" t="s">
        <v>51</v>
      </c>
      <c r="E9" t="s">
        <v>51</v>
      </c>
      <c r="F9" t="s">
        <v>51</v>
      </c>
      <c r="G9" t="s">
        <v>51</v>
      </c>
      <c r="H9" t="s">
        <v>51</v>
      </c>
      <c r="I9" t="s">
        <v>51</v>
      </c>
    </row>
    <row r="10" spans="1:9" x14ac:dyDescent="0.25">
      <c r="A10" t="s">
        <v>107</v>
      </c>
      <c r="B10" t="s">
        <v>28</v>
      </c>
      <c r="C10" t="s">
        <v>104</v>
      </c>
      <c r="D10" t="s">
        <v>54</v>
      </c>
      <c r="E10" t="s">
        <v>105</v>
      </c>
      <c r="F10" t="s">
        <v>51</v>
      </c>
      <c r="G10" t="s">
        <v>54</v>
      </c>
      <c r="H10" t="s">
        <v>51</v>
      </c>
      <c r="I10" t="s">
        <v>51</v>
      </c>
    </row>
    <row r="11" spans="1:9" x14ac:dyDescent="0.25">
      <c r="A11" t="s">
        <v>107</v>
      </c>
      <c r="B11" t="s">
        <v>30</v>
      </c>
      <c r="C11" t="s">
        <v>53</v>
      </c>
      <c r="D11" t="s">
        <v>54</v>
      </c>
      <c r="E11" t="s">
        <v>51</v>
      </c>
      <c r="F11" t="s">
        <v>53</v>
      </c>
      <c r="G11" t="s">
        <v>54</v>
      </c>
      <c r="H11" t="s">
        <v>51</v>
      </c>
      <c r="I11" t="s">
        <v>51</v>
      </c>
    </row>
    <row r="12" spans="1:9" x14ac:dyDescent="0.25">
      <c r="A12" t="s">
        <v>107</v>
      </c>
      <c r="B12" t="s">
        <v>52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</row>
    <row r="13" spans="1:9" x14ac:dyDescent="0.25">
      <c r="A13" t="s">
        <v>108</v>
      </c>
      <c r="B13" t="s">
        <v>28</v>
      </c>
      <c r="C13" t="s">
        <v>53</v>
      </c>
      <c r="D13" t="s">
        <v>53</v>
      </c>
      <c r="E13" t="s">
        <v>51</v>
      </c>
      <c r="F13" t="s">
        <v>51</v>
      </c>
      <c r="G13" t="s">
        <v>53</v>
      </c>
      <c r="H13" t="s">
        <v>51</v>
      </c>
      <c r="I13" t="s">
        <v>51</v>
      </c>
    </row>
    <row r="14" spans="1:9" x14ac:dyDescent="0.25">
      <c r="A14" t="s">
        <v>108</v>
      </c>
      <c r="B14" t="s">
        <v>30</v>
      </c>
      <c r="C14" t="s">
        <v>61</v>
      </c>
      <c r="D14" t="s">
        <v>53</v>
      </c>
      <c r="E14" t="s">
        <v>105</v>
      </c>
      <c r="F14" t="s">
        <v>51</v>
      </c>
      <c r="G14" t="s">
        <v>53</v>
      </c>
      <c r="H14" t="s">
        <v>51</v>
      </c>
      <c r="I14" t="s">
        <v>51</v>
      </c>
    </row>
    <row r="15" spans="1:9" x14ac:dyDescent="0.25">
      <c r="A15" t="s">
        <v>108</v>
      </c>
      <c r="B15" t="s">
        <v>52</v>
      </c>
      <c r="C15" t="s">
        <v>53</v>
      </c>
      <c r="D15" t="s">
        <v>51</v>
      </c>
      <c r="E15" t="s">
        <v>51</v>
      </c>
      <c r="F15" t="s">
        <v>51</v>
      </c>
      <c r="G15" t="s">
        <v>53</v>
      </c>
      <c r="H15" t="s">
        <v>53</v>
      </c>
      <c r="I15" t="s">
        <v>51</v>
      </c>
    </row>
    <row r="16" spans="1:9" x14ac:dyDescent="0.25">
      <c r="A16" t="s">
        <v>110</v>
      </c>
      <c r="B16" t="s">
        <v>28</v>
      </c>
      <c r="C16" t="s">
        <v>54</v>
      </c>
      <c r="D16" t="s">
        <v>54</v>
      </c>
      <c r="E16" t="s">
        <v>51</v>
      </c>
      <c r="F16" t="s">
        <v>51</v>
      </c>
      <c r="G16" t="s">
        <v>54</v>
      </c>
      <c r="H16" t="s">
        <v>51</v>
      </c>
      <c r="I16" t="s">
        <v>51</v>
      </c>
    </row>
    <row r="17" spans="1:9" x14ac:dyDescent="0.25">
      <c r="A17" t="s">
        <v>110</v>
      </c>
      <c r="B17" t="s">
        <v>30</v>
      </c>
      <c r="C17" t="s">
        <v>53</v>
      </c>
      <c r="D17" t="s">
        <v>54</v>
      </c>
      <c r="E17" t="s">
        <v>53</v>
      </c>
      <c r="F17" t="s">
        <v>51</v>
      </c>
      <c r="G17" t="s">
        <v>54</v>
      </c>
      <c r="H17" t="s">
        <v>51</v>
      </c>
      <c r="I17" t="s">
        <v>51</v>
      </c>
    </row>
    <row r="18" spans="1:9" x14ac:dyDescent="0.25">
      <c r="A18" t="s">
        <v>110</v>
      </c>
      <c r="B18" t="s">
        <v>52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51</v>
      </c>
      <c r="I18" t="s">
        <v>51</v>
      </c>
    </row>
    <row r="19" spans="1:9" x14ac:dyDescent="0.25">
      <c r="A19" t="s">
        <v>111</v>
      </c>
      <c r="B19" t="s">
        <v>28</v>
      </c>
      <c r="C19" t="s">
        <v>53</v>
      </c>
      <c r="D19" t="s">
        <v>53</v>
      </c>
      <c r="E19" t="s">
        <v>51</v>
      </c>
      <c r="F19" t="s">
        <v>51</v>
      </c>
      <c r="G19" t="s">
        <v>53</v>
      </c>
      <c r="H19" t="s">
        <v>51</v>
      </c>
      <c r="I19" t="s">
        <v>51</v>
      </c>
    </row>
    <row r="20" spans="1:9" x14ac:dyDescent="0.25">
      <c r="A20" t="s">
        <v>111</v>
      </c>
      <c r="B20" t="s">
        <v>30</v>
      </c>
      <c r="C20" t="s">
        <v>53</v>
      </c>
      <c r="D20" t="s">
        <v>53</v>
      </c>
      <c r="E20" t="s">
        <v>51</v>
      </c>
      <c r="F20" t="s">
        <v>51</v>
      </c>
      <c r="G20" t="s">
        <v>53</v>
      </c>
      <c r="H20" t="s">
        <v>51</v>
      </c>
      <c r="I20" t="s">
        <v>51</v>
      </c>
    </row>
    <row r="21" spans="1:9" x14ac:dyDescent="0.25">
      <c r="A21" t="s">
        <v>111</v>
      </c>
      <c r="B21" t="s">
        <v>52</v>
      </c>
      <c r="C21" t="s">
        <v>53</v>
      </c>
      <c r="D21" t="s">
        <v>51</v>
      </c>
      <c r="E21" t="s">
        <v>51</v>
      </c>
      <c r="F21" t="s">
        <v>51</v>
      </c>
      <c r="G21" t="s">
        <v>53</v>
      </c>
      <c r="H21" t="s">
        <v>53</v>
      </c>
      <c r="I21" t="s">
        <v>51</v>
      </c>
    </row>
    <row r="22" spans="1:9" x14ac:dyDescent="0.25">
      <c r="A22" t="s">
        <v>193</v>
      </c>
      <c r="B22" t="s">
        <v>28</v>
      </c>
      <c r="C22" t="s">
        <v>51</v>
      </c>
      <c r="D22" t="s">
        <v>54</v>
      </c>
      <c r="E22" t="s">
        <v>54</v>
      </c>
      <c r="F22" t="s">
        <v>51</v>
      </c>
      <c r="G22" t="s">
        <v>54</v>
      </c>
      <c r="H22" t="s">
        <v>51</v>
      </c>
      <c r="I22" t="s">
        <v>51</v>
      </c>
    </row>
    <row r="23" spans="1:9" x14ac:dyDescent="0.25">
      <c r="A23" t="s">
        <v>193</v>
      </c>
      <c r="B23" t="s">
        <v>30</v>
      </c>
      <c r="C23" t="s">
        <v>51</v>
      </c>
      <c r="D23" t="s">
        <v>54</v>
      </c>
      <c r="E23" t="s">
        <v>51</v>
      </c>
      <c r="F23" t="s">
        <v>54</v>
      </c>
      <c r="G23" t="s">
        <v>54</v>
      </c>
      <c r="H23" t="s">
        <v>51</v>
      </c>
      <c r="I23" t="s">
        <v>51</v>
      </c>
    </row>
    <row r="24" spans="1:9" x14ac:dyDescent="0.25">
      <c r="A24" t="s">
        <v>193</v>
      </c>
      <c r="B24" t="s">
        <v>52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H24" t="s">
        <v>51</v>
      </c>
      <c r="I24" t="s">
        <v>51</v>
      </c>
    </row>
    <row r="25" spans="1:9" x14ac:dyDescent="0.25">
      <c r="A25" t="s">
        <v>112</v>
      </c>
      <c r="B25" t="s">
        <v>28</v>
      </c>
      <c r="C25" t="s">
        <v>51</v>
      </c>
      <c r="D25" t="s">
        <v>54</v>
      </c>
      <c r="E25" t="s">
        <v>54</v>
      </c>
      <c r="F25" t="s">
        <v>51</v>
      </c>
      <c r="G25" t="s">
        <v>54</v>
      </c>
      <c r="H25" t="s">
        <v>51</v>
      </c>
      <c r="I25" t="s">
        <v>51</v>
      </c>
    </row>
    <row r="26" spans="1:9" x14ac:dyDescent="0.25">
      <c r="A26" t="s">
        <v>112</v>
      </c>
      <c r="B26" t="s">
        <v>30</v>
      </c>
      <c r="C26" t="s">
        <v>51</v>
      </c>
      <c r="D26" t="s">
        <v>54</v>
      </c>
      <c r="E26" t="s">
        <v>54</v>
      </c>
      <c r="F26" t="s">
        <v>51</v>
      </c>
      <c r="G26" t="s">
        <v>54</v>
      </c>
      <c r="H26" t="s">
        <v>51</v>
      </c>
      <c r="I26" t="s">
        <v>51</v>
      </c>
    </row>
    <row r="27" spans="1:9" x14ac:dyDescent="0.25">
      <c r="A27" t="s">
        <v>112</v>
      </c>
      <c r="B27" t="s">
        <v>52</v>
      </c>
      <c r="C27" t="s">
        <v>51</v>
      </c>
      <c r="D27" t="s">
        <v>51</v>
      </c>
      <c r="E27" t="s">
        <v>51</v>
      </c>
      <c r="F27" t="s">
        <v>51</v>
      </c>
      <c r="G27" t="s">
        <v>51</v>
      </c>
      <c r="H27" t="s">
        <v>51</v>
      </c>
      <c r="I27" t="s">
        <v>51</v>
      </c>
    </row>
    <row r="28" spans="1:9" x14ac:dyDescent="0.25">
      <c r="A28" t="s">
        <v>26</v>
      </c>
      <c r="B28" t="s">
        <v>56</v>
      </c>
      <c r="C28" t="s">
        <v>57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</row>
    <row r="29" spans="1:9" x14ac:dyDescent="0.25">
      <c r="A29" t="s">
        <v>28</v>
      </c>
      <c r="B29" t="s">
        <v>113</v>
      </c>
      <c r="C29" t="s">
        <v>22</v>
      </c>
      <c r="D29" t="s">
        <v>113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</row>
    <row r="30" spans="1:9" x14ac:dyDescent="0.25">
      <c r="A30" t="s">
        <v>30</v>
      </c>
      <c r="B30" t="s">
        <v>113</v>
      </c>
      <c r="C30" t="s">
        <v>22</v>
      </c>
      <c r="D30" t="s">
        <v>113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</row>
    <row r="31" spans="1:9" x14ac:dyDescent="0.25">
      <c r="A31" t="s">
        <v>52</v>
      </c>
      <c r="B31" t="s">
        <v>58</v>
      </c>
      <c r="C31" t="s">
        <v>22</v>
      </c>
      <c r="D31" t="s">
        <v>89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</row>
    <row r="32" spans="1:9" x14ac:dyDescent="0.25">
      <c r="A32" t="s">
        <v>22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</row>
    <row r="33" spans="1:9" x14ac:dyDescent="0.25">
      <c r="A33" t="s">
        <v>59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</row>
    <row r="34" spans="1:9" x14ac:dyDescent="0.25">
      <c r="A34" t="s">
        <v>45</v>
      </c>
      <c r="B34" t="s">
        <v>26</v>
      </c>
      <c r="C34" t="s">
        <v>46</v>
      </c>
      <c r="D34" t="s">
        <v>102</v>
      </c>
      <c r="E34" t="s">
        <v>47</v>
      </c>
      <c r="F34" t="s">
        <v>35</v>
      </c>
      <c r="G34" t="s">
        <v>48</v>
      </c>
      <c r="H34" t="s">
        <v>49</v>
      </c>
      <c r="I34" t="s">
        <v>50</v>
      </c>
    </row>
    <row r="35" spans="1:9" x14ac:dyDescent="0.25">
      <c r="A35" t="s">
        <v>60</v>
      </c>
      <c r="B35" t="s">
        <v>91</v>
      </c>
      <c r="C35" t="s">
        <v>61</v>
      </c>
      <c r="D35" t="s">
        <v>114</v>
      </c>
      <c r="E35" t="s">
        <v>51</v>
      </c>
      <c r="F35" t="s">
        <v>51</v>
      </c>
      <c r="G35" t="s">
        <v>61</v>
      </c>
      <c r="H35" t="s">
        <v>115</v>
      </c>
      <c r="I35" t="s">
        <v>51</v>
      </c>
    </row>
    <row r="36" spans="1:9" x14ac:dyDescent="0.25">
      <c r="A36" t="s">
        <v>60</v>
      </c>
      <c r="B36" t="s">
        <v>94</v>
      </c>
      <c r="C36" t="s">
        <v>61</v>
      </c>
      <c r="D36" t="s">
        <v>114</v>
      </c>
      <c r="E36" t="s">
        <v>51</v>
      </c>
      <c r="F36" t="s">
        <v>51</v>
      </c>
      <c r="G36" t="s">
        <v>61</v>
      </c>
      <c r="H36" t="s">
        <v>115</v>
      </c>
      <c r="I36" t="s">
        <v>51</v>
      </c>
    </row>
    <row r="37" spans="1:9" x14ac:dyDescent="0.25">
      <c r="A37" t="s">
        <v>60</v>
      </c>
      <c r="B37" t="s">
        <v>95</v>
      </c>
      <c r="C37" t="s">
        <v>61</v>
      </c>
      <c r="D37" t="s">
        <v>114</v>
      </c>
      <c r="E37" t="s">
        <v>51</v>
      </c>
      <c r="F37" t="s">
        <v>51</v>
      </c>
      <c r="G37" t="s">
        <v>61</v>
      </c>
      <c r="H37" t="s">
        <v>115</v>
      </c>
      <c r="I37" t="s">
        <v>51</v>
      </c>
    </row>
    <row r="38" spans="1:9" x14ac:dyDescent="0.25">
      <c r="A38" t="s">
        <v>117</v>
      </c>
      <c r="B38" t="s">
        <v>91</v>
      </c>
      <c r="C38" t="s">
        <v>104</v>
      </c>
      <c r="D38" t="s">
        <v>114</v>
      </c>
      <c r="E38" t="s">
        <v>51</v>
      </c>
      <c r="F38" t="s">
        <v>51</v>
      </c>
      <c r="G38" t="s">
        <v>104</v>
      </c>
      <c r="H38" t="s">
        <v>118</v>
      </c>
      <c r="I38" t="s">
        <v>51</v>
      </c>
    </row>
    <row r="39" spans="1:9" x14ac:dyDescent="0.25">
      <c r="A39" t="s">
        <v>117</v>
      </c>
      <c r="B39" t="s">
        <v>94</v>
      </c>
      <c r="C39" t="s">
        <v>104</v>
      </c>
      <c r="D39" t="s">
        <v>114</v>
      </c>
      <c r="E39" t="s">
        <v>51</v>
      </c>
      <c r="F39" t="s">
        <v>51</v>
      </c>
      <c r="G39" t="s">
        <v>104</v>
      </c>
      <c r="H39" t="s">
        <v>118</v>
      </c>
      <c r="I39" t="s">
        <v>51</v>
      </c>
    </row>
    <row r="40" spans="1:9" x14ac:dyDescent="0.25">
      <c r="A40" t="s">
        <v>117</v>
      </c>
      <c r="B40" t="s">
        <v>95</v>
      </c>
      <c r="C40" t="s">
        <v>61</v>
      </c>
      <c r="D40" t="s">
        <v>114</v>
      </c>
      <c r="E40" t="s">
        <v>51</v>
      </c>
      <c r="F40" t="s">
        <v>51</v>
      </c>
      <c r="G40" t="s">
        <v>61</v>
      </c>
      <c r="H40" t="s">
        <v>115</v>
      </c>
      <c r="I40" t="s">
        <v>51</v>
      </c>
    </row>
    <row r="41" spans="1:9" x14ac:dyDescent="0.25">
      <c r="A41" t="s">
        <v>119</v>
      </c>
      <c r="B41" t="s">
        <v>91</v>
      </c>
      <c r="C41" t="s">
        <v>61</v>
      </c>
      <c r="D41" t="s">
        <v>114</v>
      </c>
      <c r="E41" t="s">
        <v>51</v>
      </c>
      <c r="F41" t="s">
        <v>51</v>
      </c>
      <c r="G41" t="s">
        <v>61</v>
      </c>
      <c r="H41" t="s">
        <v>115</v>
      </c>
      <c r="I41" t="s">
        <v>51</v>
      </c>
    </row>
    <row r="42" spans="1:9" x14ac:dyDescent="0.25">
      <c r="A42" t="s">
        <v>119</v>
      </c>
      <c r="B42" t="s">
        <v>94</v>
      </c>
      <c r="C42" t="s">
        <v>120</v>
      </c>
      <c r="D42" t="s">
        <v>114</v>
      </c>
      <c r="E42" t="s">
        <v>51</v>
      </c>
      <c r="F42" t="s">
        <v>51</v>
      </c>
      <c r="G42" t="s">
        <v>120</v>
      </c>
      <c r="H42" t="s">
        <v>194</v>
      </c>
      <c r="I42" t="s">
        <v>51</v>
      </c>
    </row>
    <row r="43" spans="1:9" x14ac:dyDescent="0.25">
      <c r="A43" t="s">
        <v>119</v>
      </c>
      <c r="B43" t="s">
        <v>95</v>
      </c>
      <c r="C43" t="s">
        <v>61</v>
      </c>
      <c r="D43" t="s">
        <v>114</v>
      </c>
      <c r="E43" t="s">
        <v>51</v>
      </c>
      <c r="F43" t="s">
        <v>51</v>
      </c>
      <c r="G43" t="s">
        <v>61</v>
      </c>
      <c r="H43" t="s">
        <v>115</v>
      </c>
      <c r="I43" t="s">
        <v>51</v>
      </c>
    </row>
    <row r="44" spans="1:9" x14ac:dyDescent="0.25">
      <c r="A44" t="s">
        <v>121</v>
      </c>
      <c r="B44" t="s">
        <v>91</v>
      </c>
      <c r="C44" t="s">
        <v>54</v>
      </c>
      <c r="D44" t="s">
        <v>114</v>
      </c>
      <c r="E44" t="s">
        <v>55</v>
      </c>
      <c r="F44" t="s">
        <v>51</v>
      </c>
      <c r="G44" t="s">
        <v>53</v>
      </c>
      <c r="H44" t="s">
        <v>116</v>
      </c>
      <c r="I44" t="s">
        <v>51</v>
      </c>
    </row>
    <row r="45" spans="1:9" x14ac:dyDescent="0.25">
      <c r="A45" t="s">
        <v>121</v>
      </c>
      <c r="B45" t="s">
        <v>94</v>
      </c>
      <c r="C45" t="s">
        <v>122</v>
      </c>
      <c r="D45" t="s">
        <v>114</v>
      </c>
      <c r="E45" t="s">
        <v>55</v>
      </c>
      <c r="F45" t="s">
        <v>51</v>
      </c>
      <c r="G45" t="s">
        <v>120</v>
      </c>
      <c r="H45" t="s">
        <v>194</v>
      </c>
      <c r="I45" t="s">
        <v>51</v>
      </c>
    </row>
    <row r="46" spans="1:9" x14ac:dyDescent="0.25">
      <c r="A46" t="s">
        <v>121</v>
      </c>
      <c r="B46" t="s">
        <v>95</v>
      </c>
      <c r="C46" t="s">
        <v>104</v>
      </c>
      <c r="D46" t="s">
        <v>114</v>
      </c>
      <c r="E46" t="s">
        <v>55</v>
      </c>
      <c r="F46" t="s">
        <v>51</v>
      </c>
      <c r="G46" t="s">
        <v>61</v>
      </c>
      <c r="H46" t="s">
        <v>115</v>
      </c>
      <c r="I46" t="s">
        <v>51</v>
      </c>
    </row>
    <row r="47" spans="1:9" x14ac:dyDescent="0.25">
      <c r="A47" t="s">
        <v>123</v>
      </c>
      <c r="B47" t="s">
        <v>91</v>
      </c>
      <c r="C47" t="s">
        <v>51</v>
      </c>
      <c r="D47" t="s">
        <v>124</v>
      </c>
      <c r="E47" t="s">
        <v>53</v>
      </c>
      <c r="F47" t="s">
        <v>51</v>
      </c>
      <c r="G47" t="s">
        <v>53</v>
      </c>
      <c r="H47" t="s">
        <v>125</v>
      </c>
      <c r="I47" t="s">
        <v>51</v>
      </c>
    </row>
    <row r="48" spans="1:9" x14ac:dyDescent="0.25">
      <c r="A48" t="s">
        <v>123</v>
      </c>
      <c r="B48" t="s">
        <v>94</v>
      </c>
      <c r="C48" t="s">
        <v>51</v>
      </c>
      <c r="D48" t="s">
        <v>124</v>
      </c>
      <c r="E48" t="s">
        <v>53</v>
      </c>
      <c r="F48" t="s">
        <v>51</v>
      </c>
      <c r="G48" t="s">
        <v>53</v>
      </c>
      <c r="H48" t="s">
        <v>125</v>
      </c>
      <c r="I48" t="s">
        <v>51</v>
      </c>
    </row>
    <row r="49" spans="1:9" x14ac:dyDescent="0.25">
      <c r="A49" t="s">
        <v>123</v>
      </c>
      <c r="B49" t="s">
        <v>95</v>
      </c>
      <c r="C49" t="s">
        <v>51</v>
      </c>
      <c r="D49" t="s">
        <v>124</v>
      </c>
      <c r="E49" t="s">
        <v>53</v>
      </c>
      <c r="F49" t="s">
        <v>51</v>
      </c>
      <c r="G49" t="s">
        <v>53</v>
      </c>
      <c r="H49" t="s">
        <v>125</v>
      </c>
      <c r="I49" t="s">
        <v>51</v>
      </c>
    </row>
    <row r="50" spans="1:9" x14ac:dyDescent="0.25">
      <c r="A50" t="s">
        <v>22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</row>
    <row r="51" spans="1:9" x14ac:dyDescent="0.25">
      <c r="A51" t="s">
        <v>62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</row>
    <row r="52" spans="1:9" x14ac:dyDescent="0.25">
      <c r="A52" t="s">
        <v>45</v>
      </c>
      <c r="B52" t="s">
        <v>26</v>
      </c>
      <c r="C52" t="s">
        <v>46</v>
      </c>
      <c r="D52" t="s">
        <v>102</v>
      </c>
      <c r="E52" t="s">
        <v>47</v>
      </c>
      <c r="F52" t="s">
        <v>35</v>
      </c>
      <c r="G52" t="s">
        <v>48</v>
      </c>
      <c r="H52" t="s">
        <v>49</v>
      </c>
      <c r="I52" t="s">
        <v>50</v>
      </c>
    </row>
    <row r="53" spans="1:9" x14ac:dyDescent="0.25">
      <c r="A53" t="s">
        <v>63</v>
      </c>
      <c r="B53" t="s">
        <v>97</v>
      </c>
      <c r="C53" t="s">
        <v>54</v>
      </c>
      <c r="D53" t="s">
        <v>116</v>
      </c>
      <c r="E53" t="s">
        <v>55</v>
      </c>
      <c r="F53" t="s">
        <v>51</v>
      </c>
      <c r="G53" t="s">
        <v>53</v>
      </c>
      <c r="H53" t="s">
        <v>114</v>
      </c>
      <c r="I53" t="s">
        <v>51</v>
      </c>
    </row>
    <row r="54" spans="1:9" x14ac:dyDescent="0.25">
      <c r="A54" t="s">
        <v>63</v>
      </c>
      <c r="B54" t="s">
        <v>100</v>
      </c>
      <c r="C54" t="s">
        <v>54</v>
      </c>
      <c r="D54" t="s">
        <v>116</v>
      </c>
      <c r="E54" t="s">
        <v>51</v>
      </c>
      <c r="F54" t="s">
        <v>51</v>
      </c>
      <c r="G54" t="s">
        <v>54</v>
      </c>
      <c r="H54" t="s">
        <v>195</v>
      </c>
      <c r="I54" t="s">
        <v>51</v>
      </c>
    </row>
    <row r="55" spans="1:9" x14ac:dyDescent="0.25">
      <c r="A55" t="s">
        <v>63</v>
      </c>
      <c r="B55" t="s">
        <v>101</v>
      </c>
      <c r="C55" t="s">
        <v>54</v>
      </c>
      <c r="D55" t="s">
        <v>116</v>
      </c>
      <c r="E55" t="s">
        <v>51</v>
      </c>
      <c r="F55" t="s">
        <v>51</v>
      </c>
      <c r="G55" t="s">
        <v>54</v>
      </c>
      <c r="H55" t="s">
        <v>195</v>
      </c>
      <c r="I55" t="s">
        <v>51</v>
      </c>
    </row>
    <row r="56" spans="1:9" x14ac:dyDescent="0.25">
      <c r="A56" t="s">
        <v>127</v>
      </c>
      <c r="B56" t="s">
        <v>97</v>
      </c>
      <c r="C56" t="s">
        <v>54</v>
      </c>
      <c r="D56" t="s">
        <v>124</v>
      </c>
      <c r="E56" t="s">
        <v>51</v>
      </c>
      <c r="F56" t="s">
        <v>51</v>
      </c>
      <c r="G56" t="s">
        <v>54</v>
      </c>
      <c r="H56" t="s">
        <v>126</v>
      </c>
      <c r="I56" t="s">
        <v>51</v>
      </c>
    </row>
    <row r="57" spans="1:9" x14ac:dyDescent="0.25">
      <c r="A57" t="s">
        <v>127</v>
      </c>
      <c r="B57" t="s">
        <v>100</v>
      </c>
      <c r="C57" t="s">
        <v>120</v>
      </c>
      <c r="D57" t="s">
        <v>124</v>
      </c>
      <c r="E57" t="s">
        <v>51</v>
      </c>
      <c r="F57" t="s">
        <v>51</v>
      </c>
      <c r="G57" t="s">
        <v>120</v>
      </c>
      <c r="H57" t="s">
        <v>196</v>
      </c>
      <c r="I57" t="s">
        <v>51</v>
      </c>
    </row>
    <row r="58" spans="1:9" x14ac:dyDescent="0.25">
      <c r="A58" t="s">
        <v>127</v>
      </c>
      <c r="B58" t="s">
        <v>101</v>
      </c>
      <c r="C58" t="s">
        <v>54</v>
      </c>
      <c r="D58" t="s">
        <v>124</v>
      </c>
      <c r="E58" t="s">
        <v>51</v>
      </c>
      <c r="F58" t="s">
        <v>51</v>
      </c>
      <c r="G58" t="s">
        <v>54</v>
      </c>
      <c r="H58" t="s">
        <v>126</v>
      </c>
      <c r="I58" t="s">
        <v>51</v>
      </c>
    </row>
    <row r="59" spans="1:9" x14ac:dyDescent="0.25">
      <c r="A59" t="s">
        <v>128</v>
      </c>
      <c r="B59" t="s">
        <v>97</v>
      </c>
      <c r="C59" t="s">
        <v>53</v>
      </c>
      <c r="D59" t="s">
        <v>124</v>
      </c>
      <c r="E59" t="s">
        <v>51</v>
      </c>
      <c r="F59" t="s">
        <v>51</v>
      </c>
      <c r="G59" t="s">
        <v>53</v>
      </c>
      <c r="H59" t="s">
        <v>125</v>
      </c>
      <c r="I59" t="s">
        <v>51</v>
      </c>
    </row>
    <row r="60" spans="1:9" x14ac:dyDescent="0.25">
      <c r="A60" t="s">
        <v>128</v>
      </c>
      <c r="B60" t="s">
        <v>100</v>
      </c>
      <c r="C60" t="s">
        <v>61</v>
      </c>
      <c r="D60" t="s">
        <v>124</v>
      </c>
      <c r="E60" t="s">
        <v>55</v>
      </c>
      <c r="F60" t="s">
        <v>51</v>
      </c>
      <c r="G60" t="s">
        <v>54</v>
      </c>
      <c r="H60" t="s">
        <v>126</v>
      </c>
      <c r="I60" t="s">
        <v>51</v>
      </c>
    </row>
    <row r="61" spans="1:9" x14ac:dyDescent="0.25">
      <c r="A61" t="s">
        <v>128</v>
      </c>
      <c r="B61" t="s">
        <v>101</v>
      </c>
      <c r="C61" t="s">
        <v>54</v>
      </c>
      <c r="D61" t="s">
        <v>124</v>
      </c>
      <c r="E61" t="s">
        <v>55</v>
      </c>
      <c r="F61" t="s">
        <v>51</v>
      </c>
      <c r="G61" t="s">
        <v>53</v>
      </c>
      <c r="H61" t="s">
        <v>125</v>
      </c>
      <c r="I61" t="s">
        <v>51</v>
      </c>
    </row>
    <row r="62" spans="1:9" x14ac:dyDescent="0.25">
      <c r="A62" t="s">
        <v>197</v>
      </c>
      <c r="B62" t="s">
        <v>97</v>
      </c>
      <c r="C62" t="s">
        <v>51</v>
      </c>
      <c r="D62" t="s">
        <v>116</v>
      </c>
      <c r="E62" t="s">
        <v>53</v>
      </c>
      <c r="F62" t="s">
        <v>51</v>
      </c>
      <c r="G62" t="s">
        <v>53</v>
      </c>
      <c r="H62" t="s">
        <v>114</v>
      </c>
      <c r="I62" t="s">
        <v>51</v>
      </c>
    </row>
    <row r="63" spans="1:9" x14ac:dyDescent="0.25">
      <c r="A63" t="s">
        <v>197</v>
      </c>
      <c r="B63" t="s">
        <v>100</v>
      </c>
      <c r="C63" t="s">
        <v>51</v>
      </c>
      <c r="D63" t="s">
        <v>116</v>
      </c>
      <c r="E63" t="s">
        <v>53</v>
      </c>
      <c r="F63" t="s">
        <v>51</v>
      </c>
      <c r="G63" t="s">
        <v>53</v>
      </c>
      <c r="H63" t="s">
        <v>114</v>
      </c>
      <c r="I63" t="s">
        <v>51</v>
      </c>
    </row>
    <row r="64" spans="1:9" x14ac:dyDescent="0.25">
      <c r="A64" t="s">
        <v>197</v>
      </c>
      <c r="B64" t="s">
        <v>101</v>
      </c>
      <c r="C64" t="s">
        <v>51</v>
      </c>
      <c r="D64" t="s">
        <v>116</v>
      </c>
      <c r="E64" t="s">
        <v>53</v>
      </c>
      <c r="F64" t="s">
        <v>51</v>
      </c>
      <c r="G64" t="s">
        <v>53</v>
      </c>
      <c r="H64" t="s">
        <v>114</v>
      </c>
      <c r="I64" t="s">
        <v>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912C-A30A-484B-89F2-0788A09CD2C7}">
  <dimension ref="A1:C190"/>
  <sheetViews>
    <sheetView workbookViewId="0"/>
  </sheetViews>
  <sheetFormatPr defaultRowHeight="15" x14ac:dyDescent="0.25"/>
  <cols>
    <col min="1" max="1" width="32.85546875" bestFit="1" customWidth="1"/>
    <col min="2" max="2" width="8.5703125" bestFit="1" customWidth="1"/>
    <col min="3" max="3" width="7.42578125" bestFit="1" customWidth="1"/>
  </cols>
  <sheetData>
    <row r="1" spans="1:3" x14ac:dyDescent="0.25">
      <c r="A1" t="s">
        <v>64</v>
      </c>
      <c r="B1" t="s">
        <v>65</v>
      </c>
      <c r="C1" t="s">
        <v>66</v>
      </c>
    </row>
    <row r="2" spans="1:3" x14ac:dyDescent="0.25">
      <c r="A2" t="s">
        <v>143</v>
      </c>
      <c r="B2" t="s">
        <v>173</v>
      </c>
      <c r="C2">
        <v>1000</v>
      </c>
    </row>
    <row r="3" spans="1:3" x14ac:dyDescent="0.25">
      <c r="A3" t="s">
        <v>144</v>
      </c>
      <c r="B3" t="s">
        <v>77</v>
      </c>
      <c r="C3">
        <v>3000</v>
      </c>
    </row>
    <row r="4" spans="1:3" x14ac:dyDescent="0.25">
      <c r="A4" t="s">
        <v>145</v>
      </c>
      <c r="B4" t="s">
        <v>174</v>
      </c>
      <c r="C4">
        <v>2000</v>
      </c>
    </row>
    <row r="5" spans="1:3" x14ac:dyDescent="0.25">
      <c r="A5" t="s">
        <v>146</v>
      </c>
      <c r="B5" t="s">
        <v>175</v>
      </c>
      <c r="C5">
        <v>4000</v>
      </c>
    </row>
    <row r="6" spans="1:3" x14ac:dyDescent="0.25">
      <c r="A6" t="s">
        <v>147</v>
      </c>
      <c r="B6" t="s">
        <v>173</v>
      </c>
      <c r="C6">
        <v>1000</v>
      </c>
    </row>
    <row r="7" spans="1:3" x14ac:dyDescent="0.25">
      <c r="A7" t="s">
        <v>148</v>
      </c>
      <c r="B7" t="s">
        <v>173</v>
      </c>
      <c r="C7">
        <v>1000</v>
      </c>
    </row>
    <row r="8" spans="1:3" x14ac:dyDescent="0.25">
      <c r="A8" t="s">
        <v>149</v>
      </c>
      <c r="B8" t="s">
        <v>174</v>
      </c>
      <c r="C8">
        <v>2000</v>
      </c>
    </row>
    <row r="9" spans="1:3" x14ac:dyDescent="0.25">
      <c r="A9" t="s">
        <v>150</v>
      </c>
      <c r="B9" t="s">
        <v>77</v>
      </c>
      <c r="C9">
        <v>3000</v>
      </c>
    </row>
    <row r="10" spans="1:3" x14ac:dyDescent="0.25">
      <c r="A10" t="s">
        <v>151</v>
      </c>
      <c r="B10" t="s">
        <v>77</v>
      </c>
      <c r="C10">
        <v>3000</v>
      </c>
    </row>
    <row r="11" spans="1:3" x14ac:dyDescent="0.25">
      <c r="A11" t="s">
        <v>152</v>
      </c>
      <c r="B11" t="s">
        <v>174</v>
      </c>
      <c r="C11">
        <v>2000</v>
      </c>
    </row>
    <row r="12" spans="1:3" x14ac:dyDescent="0.25">
      <c r="A12" t="s">
        <v>153</v>
      </c>
      <c r="B12" t="s">
        <v>173</v>
      </c>
      <c r="C12">
        <v>1000</v>
      </c>
    </row>
    <row r="13" spans="1:3" x14ac:dyDescent="0.25">
      <c r="A13" t="s">
        <v>154</v>
      </c>
      <c r="B13" t="s">
        <v>174</v>
      </c>
      <c r="C13">
        <v>2000</v>
      </c>
    </row>
    <row r="14" spans="1:3" x14ac:dyDescent="0.25">
      <c r="A14" t="s">
        <v>155</v>
      </c>
      <c r="B14" t="s">
        <v>77</v>
      </c>
      <c r="C14">
        <v>3000</v>
      </c>
    </row>
    <row r="15" spans="1:3" x14ac:dyDescent="0.25">
      <c r="A15" t="s">
        <v>156</v>
      </c>
      <c r="B15" t="s">
        <v>175</v>
      </c>
      <c r="C15">
        <v>4000</v>
      </c>
    </row>
    <row r="16" spans="1:3" x14ac:dyDescent="0.25">
      <c r="A16" t="s">
        <v>157</v>
      </c>
      <c r="B16" t="s">
        <v>176</v>
      </c>
      <c r="C16">
        <v>5000</v>
      </c>
    </row>
    <row r="17" spans="1:3" x14ac:dyDescent="0.25">
      <c r="A17" t="s">
        <v>22</v>
      </c>
      <c r="B17" t="s">
        <v>22</v>
      </c>
    </row>
    <row r="18" spans="1:3" x14ac:dyDescent="0.25">
      <c r="A18" t="s">
        <v>22</v>
      </c>
      <c r="B18" t="s">
        <v>22</v>
      </c>
    </row>
    <row r="19" spans="1:3" x14ac:dyDescent="0.25">
      <c r="A19" t="s">
        <v>67</v>
      </c>
      <c r="B19" t="s">
        <v>22</v>
      </c>
    </row>
    <row r="20" spans="1:3" x14ac:dyDescent="0.25">
      <c r="A20" t="s">
        <v>158</v>
      </c>
      <c r="B20" t="s">
        <v>173</v>
      </c>
    </row>
    <row r="21" spans="1:3" x14ac:dyDescent="0.25">
      <c r="A21" t="s">
        <v>129</v>
      </c>
      <c r="B21" t="s">
        <v>198</v>
      </c>
      <c r="C21">
        <v>191</v>
      </c>
    </row>
    <row r="22" spans="1:3" x14ac:dyDescent="0.25">
      <c r="A22" t="s">
        <v>129</v>
      </c>
      <c r="B22" t="s">
        <v>136</v>
      </c>
      <c r="C22">
        <v>762</v>
      </c>
    </row>
    <row r="23" spans="1:3" x14ac:dyDescent="0.25">
      <c r="A23" t="s">
        <v>129</v>
      </c>
      <c r="B23" t="s">
        <v>199</v>
      </c>
      <c r="C23">
        <v>10</v>
      </c>
    </row>
    <row r="24" spans="1:3" x14ac:dyDescent="0.25">
      <c r="A24" t="s">
        <v>129</v>
      </c>
      <c r="B24" t="s">
        <v>184</v>
      </c>
      <c r="C24">
        <v>38</v>
      </c>
    </row>
    <row r="25" spans="1:3" x14ac:dyDescent="0.25">
      <c r="A25" t="s">
        <v>159</v>
      </c>
      <c r="B25" t="s">
        <v>77</v>
      </c>
    </row>
    <row r="26" spans="1:3" x14ac:dyDescent="0.25">
      <c r="A26" t="s">
        <v>129</v>
      </c>
      <c r="B26" t="s">
        <v>132</v>
      </c>
      <c r="C26">
        <v>2857</v>
      </c>
    </row>
    <row r="27" spans="1:3" x14ac:dyDescent="0.25">
      <c r="A27" t="s">
        <v>129</v>
      </c>
      <c r="B27" t="s">
        <v>180</v>
      </c>
      <c r="C27">
        <v>143</v>
      </c>
    </row>
    <row r="28" spans="1:3" x14ac:dyDescent="0.25">
      <c r="A28" t="s">
        <v>160</v>
      </c>
      <c r="B28" t="s">
        <v>174</v>
      </c>
    </row>
    <row r="29" spans="1:3" x14ac:dyDescent="0.25">
      <c r="A29" t="s">
        <v>129</v>
      </c>
      <c r="B29" t="s">
        <v>131</v>
      </c>
      <c r="C29">
        <v>1896</v>
      </c>
    </row>
    <row r="30" spans="1:3" x14ac:dyDescent="0.25">
      <c r="A30" t="s">
        <v>129</v>
      </c>
      <c r="B30" t="s">
        <v>183</v>
      </c>
      <c r="C30">
        <v>95</v>
      </c>
    </row>
    <row r="31" spans="1:3" x14ac:dyDescent="0.25">
      <c r="A31" t="s">
        <v>129</v>
      </c>
      <c r="B31" t="s">
        <v>140</v>
      </c>
      <c r="C31">
        <v>9</v>
      </c>
    </row>
    <row r="32" spans="1:3" x14ac:dyDescent="0.25">
      <c r="A32" t="s">
        <v>129</v>
      </c>
      <c r="B32" t="s">
        <v>182</v>
      </c>
      <c r="C32">
        <v>0</v>
      </c>
    </row>
    <row r="33" spans="1:3" x14ac:dyDescent="0.25">
      <c r="A33" t="s">
        <v>161</v>
      </c>
      <c r="B33" t="s">
        <v>175</v>
      </c>
    </row>
    <row r="34" spans="1:3" x14ac:dyDescent="0.25">
      <c r="A34" t="s">
        <v>129</v>
      </c>
      <c r="B34" t="s">
        <v>133</v>
      </c>
      <c r="C34">
        <v>952</v>
      </c>
    </row>
    <row r="35" spans="1:3" x14ac:dyDescent="0.25">
      <c r="A35" t="s">
        <v>129</v>
      </c>
      <c r="B35" t="s">
        <v>135</v>
      </c>
      <c r="C35">
        <v>2857</v>
      </c>
    </row>
    <row r="36" spans="1:3" x14ac:dyDescent="0.25">
      <c r="A36" t="s">
        <v>129</v>
      </c>
      <c r="B36" t="s">
        <v>179</v>
      </c>
      <c r="C36">
        <v>48</v>
      </c>
    </row>
    <row r="37" spans="1:3" x14ac:dyDescent="0.25">
      <c r="A37" t="s">
        <v>129</v>
      </c>
      <c r="B37" t="s">
        <v>185</v>
      </c>
      <c r="C37">
        <v>143</v>
      </c>
    </row>
    <row r="38" spans="1:3" x14ac:dyDescent="0.25">
      <c r="A38" t="s">
        <v>162</v>
      </c>
      <c r="B38" t="s">
        <v>173</v>
      </c>
    </row>
    <row r="39" spans="1:3" x14ac:dyDescent="0.25">
      <c r="A39" t="s">
        <v>129</v>
      </c>
      <c r="B39" t="s">
        <v>130</v>
      </c>
      <c r="C39">
        <v>898</v>
      </c>
    </row>
    <row r="40" spans="1:3" x14ac:dyDescent="0.25">
      <c r="A40" t="s">
        <v>129</v>
      </c>
      <c r="B40" t="s">
        <v>198</v>
      </c>
      <c r="C40">
        <v>54</v>
      </c>
    </row>
    <row r="41" spans="1:3" x14ac:dyDescent="0.25">
      <c r="A41" t="s">
        <v>129</v>
      </c>
      <c r="B41" t="s">
        <v>177</v>
      </c>
      <c r="C41">
        <v>45</v>
      </c>
    </row>
    <row r="42" spans="1:3" x14ac:dyDescent="0.25">
      <c r="A42" t="s">
        <v>129</v>
      </c>
      <c r="B42" t="s">
        <v>199</v>
      </c>
      <c r="C42">
        <v>3</v>
      </c>
    </row>
    <row r="43" spans="1:3" x14ac:dyDescent="0.25">
      <c r="A43" t="s">
        <v>163</v>
      </c>
      <c r="B43" t="s">
        <v>173</v>
      </c>
    </row>
    <row r="44" spans="1:3" x14ac:dyDescent="0.25">
      <c r="A44" t="s">
        <v>129</v>
      </c>
      <c r="B44" t="s">
        <v>134</v>
      </c>
      <c r="C44">
        <v>556</v>
      </c>
    </row>
    <row r="45" spans="1:3" x14ac:dyDescent="0.25">
      <c r="A45" t="s">
        <v>129</v>
      </c>
      <c r="B45" t="s">
        <v>136</v>
      </c>
      <c r="C45">
        <v>397</v>
      </c>
    </row>
    <row r="46" spans="1:3" x14ac:dyDescent="0.25">
      <c r="A46" t="s">
        <v>129</v>
      </c>
      <c r="B46" t="s">
        <v>178</v>
      </c>
      <c r="C46">
        <v>28</v>
      </c>
    </row>
    <row r="47" spans="1:3" x14ac:dyDescent="0.25">
      <c r="A47" t="s">
        <v>129</v>
      </c>
      <c r="B47" t="s">
        <v>184</v>
      </c>
      <c r="C47">
        <v>20</v>
      </c>
    </row>
    <row r="48" spans="1:3" x14ac:dyDescent="0.25">
      <c r="A48" t="s">
        <v>164</v>
      </c>
      <c r="B48" t="s">
        <v>174</v>
      </c>
    </row>
    <row r="49" spans="1:3" x14ac:dyDescent="0.25">
      <c r="A49" t="s">
        <v>129</v>
      </c>
      <c r="B49" t="s">
        <v>133</v>
      </c>
      <c r="C49">
        <v>401</v>
      </c>
    </row>
    <row r="50" spans="1:3" x14ac:dyDescent="0.25">
      <c r="A50" t="s">
        <v>129</v>
      </c>
      <c r="B50" t="s">
        <v>136</v>
      </c>
      <c r="C50">
        <v>1204</v>
      </c>
    </row>
    <row r="51" spans="1:3" x14ac:dyDescent="0.25">
      <c r="A51" t="s">
        <v>129</v>
      </c>
      <c r="B51" t="s">
        <v>179</v>
      </c>
      <c r="C51">
        <v>20</v>
      </c>
    </row>
    <row r="52" spans="1:3" x14ac:dyDescent="0.25">
      <c r="A52" t="s">
        <v>129</v>
      </c>
      <c r="B52" t="s">
        <v>184</v>
      </c>
      <c r="C52">
        <v>60</v>
      </c>
    </row>
    <row r="53" spans="1:3" x14ac:dyDescent="0.25">
      <c r="A53" t="s">
        <v>129</v>
      </c>
      <c r="B53" t="s">
        <v>140</v>
      </c>
      <c r="C53">
        <v>300</v>
      </c>
    </row>
    <row r="54" spans="1:3" x14ac:dyDescent="0.25">
      <c r="A54" t="s">
        <v>129</v>
      </c>
      <c r="B54" t="s">
        <v>182</v>
      </c>
      <c r="C54">
        <v>15</v>
      </c>
    </row>
    <row r="55" spans="1:3" x14ac:dyDescent="0.25">
      <c r="A55" t="s">
        <v>165</v>
      </c>
      <c r="B55" t="s">
        <v>77</v>
      </c>
    </row>
    <row r="56" spans="1:3" x14ac:dyDescent="0.25">
      <c r="A56" t="s">
        <v>129</v>
      </c>
      <c r="B56" t="s">
        <v>132</v>
      </c>
      <c r="C56">
        <v>2857</v>
      </c>
    </row>
    <row r="57" spans="1:3" x14ac:dyDescent="0.25">
      <c r="A57" t="s">
        <v>129</v>
      </c>
      <c r="B57" t="s">
        <v>180</v>
      </c>
      <c r="C57">
        <v>143</v>
      </c>
    </row>
    <row r="58" spans="1:3" x14ac:dyDescent="0.25">
      <c r="A58" t="s">
        <v>166</v>
      </c>
      <c r="B58" t="s">
        <v>77</v>
      </c>
    </row>
    <row r="59" spans="1:3" x14ac:dyDescent="0.25">
      <c r="A59" t="s">
        <v>129</v>
      </c>
      <c r="B59" t="s">
        <v>134</v>
      </c>
      <c r="C59">
        <v>2857</v>
      </c>
    </row>
    <row r="60" spans="1:3" x14ac:dyDescent="0.25">
      <c r="A60" t="s">
        <v>129</v>
      </c>
      <c r="B60" t="s">
        <v>178</v>
      </c>
      <c r="C60">
        <v>143</v>
      </c>
    </row>
    <row r="61" spans="1:3" x14ac:dyDescent="0.25">
      <c r="A61" t="s">
        <v>167</v>
      </c>
      <c r="B61" t="s">
        <v>174</v>
      </c>
    </row>
    <row r="62" spans="1:3" x14ac:dyDescent="0.25">
      <c r="A62" t="s">
        <v>129</v>
      </c>
      <c r="B62" t="s">
        <v>133</v>
      </c>
      <c r="C62">
        <v>286</v>
      </c>
    </row>
    <row r="63" spans="1:3" x14ac:dyDescent="0.25">
      <c r="A63" t="s">
        <v>129</v>
      </c>
      <c r="B63" t="s">
        <v>134</v>
      </c>
      <c r="C63">
        <v>397</v>
      </c>
    </row>
    <row r="64" spans="1:3" x14ac:dyDescent="0.25">
      <c r="A64" t="s">
        <v>129</v>
      </c>
      <c r="B64" t="s">
        <v>198</v>
      </c>
      <c r="C64">
        <v>1221</v>
      </c>
    </row>
    <row r="65" spans="1:3" x14ac:dyDescent="0.25">
      <c r="A65" t="s">
        <v>129</v>
      </c>
      <c r="B65" t="s">
        <v>179</v>
      </c>
      <c r="C65">
        <v>14</v>
      </c>
    </row>
    <row r="66" spans="1:3" x14ac:dyDescent="0.25">
      <c r="A66" t="s">
        <v>129</v>
      </c>
      <c r="B66" t="s">
        <v>178</v>
      </c>
      <c r="C66">
        <v>20</v>
      </c>
    </row>
    <row r="67" spans="1:3" x14ac:dyDescent="0.25">
      <c r="A67" t="s">
        <v>129</v>
      </c>
      <c r="B67" t="s">
        <v>199</v>
      </c>
      <c r="C67">
        <v>61</v>
      </c>
    </row>
    <row r="68" spans="1:3" x14ac:dyDescent="0.25">
      <c r="A68" t="s">
        <v>168</v>
      </c>
      <c r="B68" t="s">
        <v>173</v>
      </c>
    </row>
    <row r="69" spans="1:3" x14ac:dyDescent="0.25">
      <c r="A69" t="s">
        <v>129</v>
      </c>
      <c r="B69" t="s">
        <v>130</v>
      </c>
      <c r="C69">
        <v>802</v>
      </c>
    </row>
    <row r="70" spans="1:3" x14ac:dyDescent="0.25">
      <c r="A70" t="s">
        <v>129</v>
      </c>
      <c r="B70" t="s">
        <v>177</v>
      </c>
      <c r="C70">
        <v>40</v>
      </c>
    </row>
    <row r="71" spans="1:3" x14ac:dyDescent="0.25">
      <c r="A71" t="s">
        <v>129</v>
      </c>
      <c r="B71" t="s">
        <v>139</v>
      </c>
      <c r="C71">
        <v>150</v>
      </c>
    </row>
    <row r="72" spans="1:3" x14ac:dyDescent="0.25">
      <c r="A72" t="s">
        <v>129</v>
      </c>
      <c r="B72" t="s">
        <v>181</v>
      </c>
      <c r="C72">
        <v>8</v>
      </c>
    </row>
    <row r="73" spans="1:3" x14ac:dyDescent="0.25">
      <c r="A73" t="s">
        <v>169</v>
      </c>
      <c r="B73" t="s">
        <v>174</v>
      </c>
    </row>
    <row r="74" spans="1:3" x14ac:dyDescent="0.25">
      <c r="A74" t="s">
        <v>129</v>
      </c>
      <c r="B74" t="s">
        <v>134</v>
      </c>
      <c r="C74">
        <v>1905</v>
      </c>
    </row>
    <row r="75" spans="1:3" x14ac:dyDescent="0.25">
      <c r="A75" t="s">
        <v>129</v>
      </c>
      <c r="B75" t="s">
        <v>178</v>
      </c>
      <c r="C75">
        <v>95</v>
      </c>
    </row>
    <row r="76" spans="1:3" x14ac:dyDescent="0.25">
      <c r="A76" t="s">
        <v>170</v>
      </c>
      <c r="B76" t="s">
        <v>77</v>
      </c>
    </row>
    <row r="77" spans="1:3" x14ac:dyDescent="0.25">
      <c r="A77" t="s">
        <v>129</v>
      </c>
      <c r="B77" t="s">
        <v>136</v>
      </c>
      <c r="C77">
        <v>2857</v>
      </c>
    </row>
    <row r="78" spans="1:3" x14ac:dyDescent="0.25">
      <c r="A78" t="s">
        <v>129</v>
      </c>
      <c r="B78" t="s">
        <v>184</v>
      </c>
      <c r="C78">
        <v>143</v>
      </c>
    </row>
    <row r="79" spans="1:3" x14ac:dyDescent="0.25">
      <c r="A79" t="s">
        <v>171</v>
      </c>
      <c r="B79" t="s">
        <v>175</v>
      </c>
    </row>
    <row r="80" spans="1:3" x14ac:dyDescent="0.25">
      <c r="A80" t="s">
        <v>129</v>
      </c>
      <c r="B80" t="s">
        <v>131</v>
      </c>
      <c r="C80">
        <v>2895</v>
      </c>
    </row>
    <row r="81" spans="1:3" x14ac:dyDescent="0.25">
      <c r="A81" t="s">
        <v>129</v>
      </c>
      <c r="B81" t="s">
        <v>198</v>
      </c>
      <c r="C81">
        <v>915</v>
      </c>
    </row>
    <row r="82" spans="1:3" x14ac:dyDescent="0.25">
      <c r="A82" t="s">
        <v>129</v>
      </c>
      <c r="B82" t="s">
        <v>183</v>
      </c>
      <c r="C82">
        <v>145</v>
      </c>
    </row>
    <row r="83" spans="1:3" x14ac:dyDescent="0.25">
      <c r="A83" t="s">
        <v>129</v>
      </c>
      <c r="B83" t="s">
        <v>199</v>
      </c>
      <c r="C83">
        <v>46</v>
      </c>
    </row>
    <row r="84" spans="1:3" x14ac:dyDescent="0.25">
      <c r="A84" t="s">
        <v>172</v>
      </c>
      <c r="B84" t="s">
        <v>176</v>
      </c>
    </row>
    <row r="85" spans="1:3" x14ac:dyDescent="0.25">
      <c r="A85" t="s">
        <v>129</v>
      </c>
      <c r="B85" t="s">
        <v>130</v>
      </c>
      <c r="C85">
        <v>455</v>
      </c>
    </row>
    <row r="86" spans="1:3" x14ac:dyDescent="0.25">
      <c r="A86" t="s">
        <v>129</v>
      </c>
      <c r="B86" t="s">
        <v>131</v>
      </c>
      <c r="C86">
        <v>718</v>
      </c>
    </row>
    <row r="87" spans="1:3" x14ac:dyDescent="0.25">
      <c r="A87" t="s">
        <v>129</v>
      </c>
      <c r="B87" t="s">
        <v>198</v>
      </c>
      <c r="C87">
        <v>3333</v>
      </c>
    </row>
    <row r="88" spans="1:3" x14ac:dyDescent="0.25">
      <c r="A88" t="s">
        <v>129</v>
      </c>
      <c r="B88" t="s">
        <v>177</v>
      </c>
      <c r="C88">
        <v>23</v>
      </c>
    </row>
    <row r="89" spans="1:3" x14ac:dyDescent="0.25">
      <c r="A89" t="s">
        <v>129</v>
      </c>
      <c r="B89" t="s">
        <v>183</v>
      </c>
      <c r="C89">
        <v>36</v>
      </c>
    </row>
    <row r="90" spans="1:3" x14ac:dyDescent="0.25">
      <c r="A90" t="s">
        <v>129</v>
      </c>
      <c r="B90" t="s">
        <v>199</v>
      </c>
      <c r="C90">
        <v>167</v>
      </c>
    </row>
    <row r="91" spans="1:3" x14ac:dyDescent="0.25">
      <c r="A91" t="s">
        <v>129</v>
      </c>
      <c r="B91" t="s">
        <v>139</v>
      </c>
      <c r="C91">
        <v>256</v>
      </c>
    </row>
    <row r="92" spans="1:3" x14ac:dyDescent="0.25">
      <c r="A92" t="s">
        <v>129</v>
      </c>
      <c r="B92" t="s">
        <v>181</v>
      </c>
      <c r="C92">
        <v>13</v>
      </c>
    </row>
    <row r="93" spans="1:3" x14ac:dyDescent="0.25">
      <c r="A93" t="s">
        <v>68</v>
      </c>
      <c r="B93" t="s">
        <v>22</v>
      </c>
    </row>
    <row r="94" spans="1:3" x14ac:dyDescent="0.25">
      <c r="A94" t="s">
        <v>22</v>
      </c>
      <c r="B94" t="s">
        <v>22</v>
      </c>
    </row>
    <row r="95" spans="1:3" x14ac:dyDescent="0.25">
      <c r="A95" t="s">
        <v>22</v>
      </c>
      <c r="B95" t="s">
        <v>22</v>
      </c>
    </row>
    <row r="96" spans="1:3" x14ac:dyDescent="0.25">
      <c r="A96" t="s">
        <v>69</v>
      </c>
      <c r="B96" t="s">
        <v>22</v>
      </c>
    </row>
    <row r="97" spans="1:3" x14ac:dyDescent="0.25">
      <c r="A97" t="s">
        <v>130</v>
      </c>
      <c r="B97" t="s">
        <v>77</v>
      </c>
    </row>
    <row r="98" spans="1:3" x14ac:dyDescent="0.25">
      <c r="A98" t="s">
        <v>129</v>
      </c>
      <c r="B98" t="s">
        <v>200</v>
      </c>
      <c r="C98">
        <v>2100</v>
      </c>
    </row>
    <row r="99" spans="1:3" x14ac:dyDescent="0.25">
      <c r="A99" t="s">
        <v>129</v>
      </c>
      <c r="B99" t="s">
        <v>201</v>
      </c>
      <c r="C99">
        <v>150</v>
      </c>
    </row>
    <row r="100" spans="1:3" x14ac:dyDescent="0.25">
      <c r="A100" t="s">
        <v>129</v>
      </c>
      <c r="B100" t="s">
        <v>139</v>
      </c>
      <c r="C100">
        <v>600</v>
      </c>
    </row>
    <row r="101" spans="1:3" x14ac:dyDescent="0.25">
      <c r="A101" t="s">
        <v>129</v>
      </c>
      <c r="B101" t="s">
        <v>73</v>
      </c>
      <c r="C101">
        <v>150</v>
      </c>
    </row>
    <row r="102" spans="1:3" x14ac:dyDescent="0.25">
      <c r="A102" t="s">
        <v>131</v>
      </c>
      <c r="B102" t="s">
        <v>202</v>
      </c>
    </row>
    <row r="103" spans="1:3" x14ac:dyDescent="0.25">
      <c r="A103" t="s">
        <v>129</v>
      </c>
      <c r="B103" t="s">
        <v>203</v>
      </c>
      <c r="C103">
        <v>338</v>
      </c>
    </row>
    <row r="104" spans="1:3" x14ac:dyDescent="0.25">
      <c r="A104" t="s">
        <v>129</v>
      </c>
      <c r="B104" t="s">
        <v>204</v>
      </c>
      <c r="C104">
        <v>2000</v>
      </c>
    </row>
    <row r="105" spans="1:3" x14ac:dyDescent="0.25">
      <c r="A105" t="s">
        <v>129</v>
      </c>
      <c r="B105" t="s">
        <v>205</v>
      </c>
      <c r="C105">
        <v>2000</v>
      </c>
    </row>
    <row r="106" spans="1:3" x14ac:dyDescent="0.25">
      <c r="A106" t="s">
        <v>129</v>
      </c>
      <c r="B106" t="s">
        <v>71</v>
      </c>
      <c r="C106">
        <v>1157</v>
      </c>
    </row>
    <row r="107" spans="1:3" x14ac:dyDescent="0.25">
      <c r="A107" t="s">
        <v>129</v>
      </c>
      <c r="B107" t="s">
        <v>206</v>
      </c>
      <c r="C107">
        <v>289</v>
      </c>
    </row>
    <row r="108" spans="1:3" x14ac:dyDescent="0.25">
      <c r="A108" t="s">
        <v>132</v>
      </c>
      <c r="B108" t="s">
        <v>79</v>
      </c>
    </row>
    <row r="109" spans="1:3" x14ac:dyDescent="0.25">
      <c r="A109" t="s">
        <v>129</v>
      </c>
      <c r="B109" t="s">
        <v>201</v>
      </c>
      <c r="C109">
        <v>277</v>
      </c>
    </row>
    <row r="110" spans="1:3" x14ac:dyDescent="0.25">
      <c r="A110" t="s">
        <v>129</v>
      </c>
      <c r="B110" t="s">
        <v>207</v>
      </c>
      <c r="C110">
        <v>4223</v>
      </c>
    </row>
    <row r="111" spans="1:3" x14ac:dyDescent="0.25">
      <c r="A111" t="s">
        <v>129</v>
      </c>
      <c r="B111" t="s">
        <v>137</v>
      </c>
      <c r="C111">
        <v>1200</v>
      </c>
    </row>
    <row r="112" spans="1:3" x14ac:dyDescent="0.25">
      <c r="A112" t="s">
        <v>129</v>
      </c>
      <c r="B112" t="s">
        <v>141</v>
      </c>
      <c r="C112">
        <v>300</v>
      </c>
    </row>
    <row r="113" spans="1:3" x14ac:dyDescent="0.25">
      <c r="A113" t="s">
        <v>133</v>
      </c>
      <c r="B113" t="s">
        <v>77</v>
      </c>
    </row>
    <row r="114" spans="1:3" x14ac:dyDescent="0.25">
      <c r="A114" t="s">
        <v>129</v>
      </c>
      <c r="B114" t="s">
        <v>208</v>
      </c>
      <c r="C114">
        <v>1473</v>
      </c>
    </row>
    <row r="115" spans="1:3" x14ac:dyDescent="0.25">
      <c r="A115" t="s">
        <v>129</v>
      </c>
      <c r="B115" t="s">
        <v>207</v>
      </c>
      <c r="C115">
        <v>777</v>
      </c>
    </row>
    <row r="116" spans="1:3" x14ac:dyDescent="0.25">
      <c r="A116" t="s">
        <v>129</v>
      </c>
      <c r="B116" t="s">
        <v>71</v>
      </c>
      <c r="C116">
        <v>243</v>
      </c>
    </row>
    <row r="117" spans="1:3" x14ac:dyDescent="0.25">
      <c r="A117" t="s">
        <v>129</v>
      </c>
      <c r="B117" t="s">
        <v>140</v>
      </c>
      <c r="C117">
        <v>357</v>
      </c>
    </row>
    <row r="118" spans="1:3" x14ac:dyDescent="0.25">
      <c r="A118" t="s">
        <v>129</v>
      </c>
      <c r="B118" t="s">
        <v>142</v>
      </c>
      <c r="C118">
        <v>150</v>
      </c>
    </row>
    <row r="119" spans="1:3" x14ac:dyDescent="0.25">
      <c r="A119" t="s">
        <v>134</v>
      </c>
      <c r="B119" t="s">
        <v>79</v>
      </c>
    </row>
    <row r="120" spans="1:3" x14ac:dyDescent="0.25">
      <c r="A120" t="s">
        <v>129</v>
      </c>
      <c r="B120" t="s">
        <v>209</v>
      </c>
      <c r="C120">
        <v>600</v>
      </c>
    </row>
    <row r="121" spans="1:3" x14ac:dyDescent="0.25">
      <c r="A121" t="s">
        <v>129</v>
      </c>
      <c r="B121" t="s">
        <v>200</v>
      </c>
      <c r="C121">
        <v>900</v>
      </c>
    </row>
    <row r="122" spans="1:3" x14ac:dyDescent="0.25">
      <c r="A122" t="s">
        <v>129</v>
      </c>
      <c r="B122" t="s">
        <v>210</v>
      </c>
      <c r="C122">
        <v>3000</v>
      </c>
    </row>
    <row r="123" spans="1:3" x14ac:dyDescent="0.25">
      <c r="A123" t="s">
        <v>129</v>
      </c>
      <c r="B123" t="s">
        <v>137</v>
      </c>
      <c r="C123">
        <v>400</v>
      </c>
    </row>
    <row r="124" spans="1:3" x14ac:dyDescent="0.25">
      <c r="A124" t="s">
        <v>129</v>
      </c>
      <c r="B124" t="s">
        <v>138</v>
      </c>
      <c r="C124">
        <v>800</v>
      </c>
    </row>
    <row r="125" spans="1:3" x14ac:dyDescent="0.25">
      <c r="A125" t="s">
        <v>129</v>
      </c>
      <c r="B125" t="s">
        <v>73</v>
      </c>
      <c r="C125">
        <v>300</v>
      </c>
    </row>
    <row r="126" spans="1:3" x14ac:dyDescent="0.25">
      <c r="A126" t="s">
        <v>135</v>
      </c>
      <c r="B126" t="s">
        <v>77</v>
      </c>
    </row>
    <row r="127" spans="1:3" x14ac:dyDescent="0.25">
      <c r="A127" t="s">
        <v>129</v>
      </c>
      <c r="B127" t="s">
        <v>211</v>
      </c>
      <c r="C127">
        <v>2250</v>
      </c>
    </row>
    <row r="128" spans="1:3" x14ac:dyDescent="0.25">
      <c r="A128" t="s">
        <v>129</v>
      </c>
      <c r="B128" t="s">
        <v>71</v>
      </c>
      <c r="C128">
        <v>600</v>
      </c>
    </row>
    <row r="129" spans="1:3" x14ac:dyDescent="0.25">
      <c r="A129" t="s">
        <v>129</v>
      </c>
      <c r="B129" t="s">
        <v>73</v>
      </c>
      <c r="C129">
        <v>131</v>
      </c>
    </row>
    <row r="130" spans="1:3" x14ac:dyDescent="0.25">
      <c r="A130" t="s">
        <v>129</v>
      </c>
      <c r="B130" t="s">
        <v>141</v>
      </c>
      <c r="C130">
        <v>19</v>
      </c>
    </row>
    <row r="131" spans="1:3" x14ac:dyDescent="0.25">
      <c r="A131" t="s">
        <v>198</v>
      </c>
      <c r="B131" t="s">
        <v>79</v>
      </c>
    </row>
    <row r="132" spans="1:3" x14ac:dyDescent="0.25">
      <c r="A132" t="s">
        <v>129</v>
      </c>
      <c r="B132" t="s">
        <v>212</v>
      </c>
      <c r="C132">
        <v>1500</v>
      </c>
    </row>
    <row r="133" spans="1:3" x14ac:dyDescent="0.25">
      <c r="A133" t="s">
        <v>129</v>
      </c>
      <c r="B133" t="s">
        <v>213</v>
      </c>
      <c r="C133">
        <v>1000</v>
      </c>
    </row>
    <row r="134" spans="1:3" x14ac:dyDescent="0.25">
      <c r="A134" t="s">
        <v>129</v>
      </c>
      <c r="B134" t="s">
        <v>214</v>
      </c>
      <c r="C134">
        <v>2000</v>
      </c>
    </row>
    <row r="135" spans="1:3" x14ac:dyDescent="0.25">
      <c r="A135" t="s">
        <v>129</v>
      </c>
      <c r="B135" t="s">
        <v>138</v>
      </c>
      <c r="C135">
        <v>1200</v>
      </c>
    </row>
    <row r="136" spans="1:3" x14ac:dyDescent="0.25">
      <c r="A136" t="s">
        <v>129</v>
      </c>
      <c r="B136" t="s">
        <v>206</v>
      </c>
      <c r="C136">
        <v>300</v>
      </c>
    </row>
    <row r="137" spans="1:3" x14ac:dyDescent="0.25">
      <c r="A137" t="s">
        <v>136</v>
      </c>
      <c r="B137" t="s">
        <v>215</v>
      </c>
    </row>
    <row r="138" spans="1:3" x14ac:dyDescent="0.25">
      <c r="A138" t="s">
        <v>129</v>
      </c>
      <c r="B138" t="s">
        <v>201</v>
      </c>
      <c r="C138">
        <v>110</v>
      </c>
    </row>
    <row r="139" spans="1:3" x14ac:dyDescent="0.25">
      <c r="A139" t="s">
        <v>129</v>
      </c>
      <c r="B139" t="s">
        <v>216</v>
      </c>
      <c r="C139">
        <v>4000</v>
      </c>
    </row>
    <row r="140" spans="1:3" x14ac:dyDescent="0.25">
      <c r="A140" t="s">
        <v>129</v>
      </c>
      <c r="B140" t="s">
        <v>137</v>
      </c>
      <c r="C140">
        <v>122</v>
      </c>
    </row>
    <row r="141" spans="1:3" x14ac:dyDescent="0.25">
      <c r="A141" t="s">
        <v>129</v>
      </c>
      <c r="B141" t="s">
        <v>139</v>
      </c>
      <c r="C141">
        <v>974</v>
      </c>
    </row>
    <row r="142" spans="1:3" x14ac:dyDescent="0.25">
      <c r="A142" t="s">
        <v>129</v>
      </c>
      <c r="B142" t="s">
        <v>142</v>
      </c>
      <c r="C142">
        <v>274</v>
      </c>
    </row>
    <row r="143" spans="1:3" x14ac:dyDescent="0.25">
      <c r="A143" t="s">
        <v>22</v>
      </c>
      <c r="B143" t="s">
        <v>22</v>
      </c>
    </row>
    <row r="144" spans="1:3" x14ac:dyDescent="0.25">
      <c r="A144" t="s">
        <v>22</v>
      </c>
      <c r="B144" t="s">
        <v>22</v>
      </c>
    </row>
    <row r="145" spans="1:3" x14ac:dyDescent="0.25">
      <c r="A145" t="s">
        <v>70</v>
      </c>
      <c r="B145" t="s">
        <v>22</v>
      </c>
    </row>
    <row r="146" spans="1:3" x14ac:dyDescent="0.25">
      <c r="A146" t="s">
        <v>71</v>
      </c>
      <c r="B146" t="s">
        <v>174</v>
      </c>
    </row>
    <row r="147" spans="1:3" x14ac:dyDescent="0.25">
      <c r="A147" t="s">
        <v>129</v>
      </c>
      <c r="B147" t="s">
        <v>209</v>
      </c>
      <c r="C147">
        <v>400</v>
      </c>
    </row>
    <row r="148" spans="1:3" x14ac:dyDescent="0.25">
      <c r="A148" t="s">
        <v>129</v>
      </c>
      <c r="B148" t="s">
        <v>217</v>
      </c>
      <c r="C148">
        <v>1000</v>
      </c>
    </row>
    <row r="149" spans="1:3" x14ac:dyDescent="0.25">
      <c r="A149" t="s">
        <v>129</v>
      </c>
      <c r="B149" t="s">
        <v>130</v>
      </c>
      <c r="C149">
        <v>400</v>
      </c>
    </row>
    <row r="150" spans="1:3" x14ac:dyDescent="0.25">
      <c r="A150" t="s">
        <v>129</v>
      </c>
      <c r="B150" t="s">
        <v>142</v>
      </c>
      <c r="C150">
        <v>76</v>
      </c>
    </row>
    <row r="151" spans="1:3" x14ac:dyDescent="0.25">
      <c r="A151" t="s">
        <v>129</v>
      </c>
      <c r="B151" t="s">
        <v>206</v>
      </c>
      <c r="C151">
        <v>124</v>
      </c>
    </row>
    <row r="152" spans="1:3" x14ac:dyDescent="0.25">
      <c r="A152" t="s">
        <v>137</v>
      </c>
      <c r="B152" t="s">
        <v>174</v>
      </c>
    </row>
    <row r="153" spans="1:3" x14ac:dyDescent="0.25">
      <c r="A153" t="s">
        <v>129</v>
      </c>
      <c r="B153" t="s">
        <v>208</v>
      </c>
      <c r="C153">
        <v>1400</v>
      </c>
    </row>
    <row r="154" spans="1:3" x14ac:dyDescent="0.25">
      <c r="A154" t="s">
        <v>129</v>
      </c>
      <c r="B154" t="s">
        <v>133</v>
      </c>
      <c r="C154">
        <v>400</v>
      </c>
    </row>
    <row r="155" spans="1:3" x14ac:dyDescent="0.25">
      <c r="A155" t="s">
        <v>129</v>
      </c>
      <c r="B155" t="s">
        <v>206</v>
      </c>
      <c r="C155">
        <v>200</v>
      </c>
    </row>
    <row r="156" spans="1:3" x14ac:dyDescent="0.25">
      <c r="A156" t="s">
        <v>138</v>
      </c>
      <c r="B156" t="s">
        <v>174</v>
      </c>
    </row>
    <row r="157" spans="1:3" x14ac:dyDescent="0.25">
      <c r="A157" t="s">
        <v>129</v>
      </c>
      <c r="B157" t="s">
        <v>212</v>
      </c>
      <c r="C157">
        <v>1100</v>
      </c>
    </row>
    <row r="158" spans="1:3" x14ac:dyDescent="0.25">
      <c r="A158" t="s">
        <v>129</v>
      </c>
      <c r="B158" t="s">
        <v>201</v>
      </c>
      <c r="C158">
        <v>300</v>
      </c>
    </row>
    <row r="159" spans="1:3" x14ac:dyDescent="0.25">
      <c r="A159" t="s">
        <v>129</v>
      </c>
      <c r="B159" t="s">
        <v>133</v>
      </c>
      <c r="C159">
        <v>400</v>
      </c>
    </row>
    <row r="160" spans="1:3" x14ac:dyDescent="0.25">
      <c r="A160" t="s">
        <v>129</v>
      </c>
      <c r="B160" t="s">
        <v>141</v>
      </c>
      <c r="C160">
        <v>181</v>
      </c>
    </row>
    <row r="161" spans="1:3" x14ac:dyDescent="0.25">
      <c r="A161" t="s">
        <v>129</v>
      </c>
      <c r="B161" t="s">
        <v>206</v>
      </c>
      <c r="C161">
        <v>19</v>
      </c>
    </row>
    <row r="162" spans="1:3" x14ac:dyDescent="0.25">
      <c r="A162" t="s">
        <v>139</v>
      </c>
      <c r="B162" t="s">
        <v>174</v>
      </c>
    </row>
    <row r="163" spans="1:3" x14ac:dyDescent="0.25">
      <c r="A163" t="s">
        <v>129</v>
      </c>
      <c r="B163" t="s">
        <v>212</v>
      </c>
      <c r="C163">
        <v>1400</v>
      </c>
    </row>
    <row r="164" spans="1:3" x14ac:dyDescent="0.25">
      <c r="A164" t="s">
        <v>129</v>
      </c>
      <c r="B164" t="s">
        <v>133</v>
      </c>
      <c r="C164">
        <v>400</v>
      </c>
    </row>
    <row r="165" spans="1:3" x14ac:dyDescent="0.25">
      <c r="A165" t="s">
        <v>129</v>
      </c>
      <c r="B165" t="s">
        <v>73</v>
      </c>
      <c r="C165">
        <v>200</v>
      </c>
    </row>
    <row r="166" spans="1:3" x14ac:dyDescent="0.25">
      <c r="A166" t="s">
        <v>140</v>
      </c>
      <c r="B166" t="s">
        <v>218</v>
      </c>
    </row>
    <row r="167" spans="1:3" x14ac:dyDescent="0.25">
      <c r="A167" t="s">
        <v>129</v>
      </c>
      <c r="B167" t="s">
        <v>208</v>
      </c>
      <c r="C167">
        <v>127</v>
      </c>
    </row>
    <row r="168" spans="1:3" x14ac:dyDescent="0.25">
      <c r="A168" t="s">
        <v>129</v>
      </c>
      <c r="B168" t="s">
        <v>211</v>
      </c>
      <c r="C168">
        <v>350</v>
      </c>
    </row>
    <row r="169" spans="1:3" x14ac:dyDescent="0.25">
      <c r="A169" t="s">
        <v>129</v>
      </c>
      <c r="B169" t="s">
        <v>130</v>
      </c>
      <c r="C169">
        <v>136</v>
      </c>
    </row>
    <row r="170" spans="1:3" x14ac:dyDescent="0.25">
      <c r="A170" t="s">
        <v>129</v>
      </c>
      <c r="B170" t="s">
        <v>206</v>
      </c>
      <c r="C170">
        <v>68</v>
      </c>
    </row>
    <row r="171" spans="1:3" x14ac:dyDescent="0.25">
      <c r="A171" t="s">
        <v>22</v>
      </c>
      <c r="B171" t="s">
        <v>22</v>
      </c>
    </row>
    <row r="172" spans="1:3" x14ac:dyDescent="0.25">
      <c r="A172" t="s">
        <v>22</v>
      </c>
      <c r="B172" t="s">
        <v>22</v>
      </c>
    </row>
    <row r="173" spans="1:3" x14ac:dyDescent="0.25">
      <c r="A173" t="s">
        <v>72</v>
      </c>
      <c r="B173" t="s">
        <v>22</v>
      </c>
    </row>
    <row r="174" spans="1:3" x14ac:dyDescent="0.25">
      <c r="A174" t="s">
        <v>73</v>
      </c>
      <c r="B174" t="s">
        <v>219</v>
      </c>
    </row>
    <row r="175" spans="1:3" x14ac:dyDescent="0.25">
      <c r="A175" t="s">
        <v>129</v>
      </c>
      <c r="B175" t="s">
        <v>203</v>
      </c>
      <c r="C175">
        <v>462</v>
      </c>
    </row>
    <row r="176" spans="1:3" x14ac:dyDescent="0.25">
      <c r="A176" t="s">
        <v>129</v>
      </c>
      <c r="B176" t="s">
        <v>201</v>
      </c>
      <c r="C176">
        <v>163</v>
      </c>
    </row>
    <row r="177" spans="1:3" x14ac:dyDescent="0.25">
      <c r="A177" t="s">
        <v>129</v>
      </c>
      <c r="B177" t="s">
        <v>133</v>
      </c>
      <c r="C177">
        <v>78</v>
      </c>
    </row>
    <row r="178" spans="1:3" x14ac:dyDescent="0.25">
      <c r="A178" t="s">
        <v>129</v>
      </c>
      <c r="B178" t="s">
        <v>137</v>
      </c>
      <c r="C178">
        <v>78</v>
      </c>
    </row>
    <row r="179" spans="1:3" x14ac:dyDescent="0.25">
      <c r="A179" t="s">
        <v>141</v>
      </c>
      <c r="B179" t="s">
        <v>186</v>
      </c>
    </row>
    <row r="180" spans="1:3" x14ac:dyDescent="0.25">
      <c r="A180" t="s">
        <v>129</v>
      </c>
      <c r="B180" t="s">
        <v>203</v>
      </c>
      <c r="C180">
        <v>400</v>
      </c>
    </row>
    <row r="181" spans="1:3" x14ac:dyDescent="0.25">
      <c r="A181" t="s">
        <v>129</v>
      </c>
      <c r="B181" t="s">
        <v>130</v>
      </c>
      <c r="C181">
        <v>50</v>
      </c>
    </row>
    <row r="182" spans="1:3" x14ac:dyDescent="0.25">
      <c r="A182" t="s">
        <v>129</v>
      </c>
      <c r="B182" t="s">
        <v>137</v>
      </c>
      <c r="C182">
        <v>50</v>
      </c>
    </row>
    <row r="183" spans="1:3" x14ac:dyDescent="0.25">
      <c r="A183" t="s">
        <v>142</v>
      </c>
      <c r="B183" t="s">
        <v>186</v>
      </c>
    </row>
    <row r="184" spans="1:3" x14ac:dyDescent="0.25">
      <c r="A184" t="s">
        <v>129</v>
      </c>
      <c r="B184" t="s">
        <v>211</v>
      </c>
      <c r="C184">
        <v>400</v>
      </c>
    </row>
    <row r="185" spans="1:3" x14ac:dyDescent="0.25">
      <c r="A185" t="s">
        <v>129</v>
      </c>
      <c r="B185" t="s">
        <v>130</v>
      </c>
      <c r="C185">
        <v>50</v>
      </c>
    </row>
    <row r="186" spans="1:3" x14ac:dyDescent="0.25">
      <c r="A186" t="s">
        <v>129</v>
      </c>
      <c r="B186" t="s">
        <v>137</v>
      </c>
      <c r="C186">
        <v>50</v>
      </c>
    </row>
    <row r="187" spans="1:3" x14ac:dyDescent="0.25">
      <c r="A187" t="s">
        <v>206</v>
      </c>
      <c r="B187" t="s">
        <v>173</v>
      </c>
    </row>
    <row r="188" spans="1:3" x14ac:dyDescent="0.25">
      <c r="A188" t="s">
        <v>129</v>
      </c>
      <c r="B188" t="s">
        <v>203</v>
      </c>
      <c r="C188">
        <v>800</v>
      </c>
    </row>
    <row r="189" spans="1:3" x14ac:dyDescent="0.25">
      <c r="A189" t="s">
        <v>129</v>
      </c>
      <c r="B189" t="s">
        <v>130</v>
      </c>
      <c r="C189">
        <v>100</v>
      </c>
    </row>
    <row r="190" spans="1:3" x14ac:dyDescent="0.25">
      <c r="A190" t="s">
        <v>129</v>
      </c>
      <c r="B190" t="s">
        <v>137</v>
      </c>
      <c r="C190">
        <v>100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A0A7-2845-4067-AFDC-71A220A30BC1}">
  <dimension ref="A1:D25"/>
  <sheetViews>
    <sheetView workbookViewId="0">
      <selection activeCell="A2" sqref="A2"/>
    </sheetView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19</v>
      </c>
      <c r="D1" t="s">
        <v>20</v>
      </c>
    </row>
    <row r="2" spans="1:4" x14ac:dyDescent="0.25">
      <c r="A2" t="s">
        <v>34</v>
      </c>
      <c r="B2" t="s">
        <v>74</v>
      </c>
      <c r="C2" t="s">
        <v>75</v>
      </c>
      <c r="D2" t="s">
        <v>76</v>
      </c>
    </row>
    <row r="3" spans="1:4" x14ac:dyDescent="0.25">
      <c r="A3" t="s">
        <v>220</v>
      </c>
      <c r="B3" t="s">
        <v>77</v>
      </c>
      <c r="C3" t="s">
        <v>77</v>
      </c>
      <c r="D3" t="s">
        <v>80</v>
      </c>
    </row>
    <row r="4" spans="1:4" x14ac:dyDescent="0.25">
      <c r="A4" t="s">
        <v>221</v>
      </c>
      <c r="B4" t="s">
        <v>79</v>
      </c>
      <c r="C4" t="s">
        <v>202</v>
      </c>
      <c r="D4" t="s">
        <v>78</v>
      </c>
    </row>
    <row r="5" spans="1:4" x14ac:dyDescent="0.25">
      <c r="A5" t="s">
        <v>222</v>
      </c>
      <c r="B5" t="s">
        <v>79</v>
      </c>
      <c r="C5" t="s">
        <v>79</v>
      </c>
      <c r="D5" t="s">
        <v>80</v>
      </c>
    </row>
    <row r="6" spans="1:4" x14ac:dyDescent="0.25">
      <c r="A6" t="s">
        <v>223</v>
      </c>
      <c r="B6" t="s">
        <v>77</v>
      </c>
      <c r="C6" t="s">
        <v>77</v>
      </c>
      <c r="D6" t="s">
        <v>80</v>
      </c>
    </row>
    <row r="7" spans="1:4" x14ac:dyDescent="0.25">
      <c r="A7" t="s">
        <v>224</v>
      </c>
      <c r="B7" t="s">
        <v>79</v>
      </c>
      <c r="C7" t="s">
        <v>79</v>
      </c>
      <c r="D7" t="s">
        <v>80</v>
      </c>
    </row>
    <row r="8" spans="1:4" x14ac:dyDescent="0.25">
      <c r="A8" t="s">
        <v>225</v>
      </c>
      <c r="B8" t="s">
        <v>77</v>
      </c>
      <c r="C8" t="s">
        <v>77</v>
      </c>
      <c r="D8" t="s">
        <v>80</v>
      </c>
    </row>
    <row r="9" spans="1:4" x14ac:dyDescent="0.25">
      <c r="A9" t="s">
        <v>226</v>
      </c>
      <c r="B9" t="s">
        <v>79</v>
      </c>
      <c r="C9" t="s">
        <v>79</v>
      </c>
      <c r="D9" t="s">
        <v>80</v>
      </c>
    </row>
    <row r="10" spans="1:4" x14ac:dyDescent="0.25">
      <c r="A10" t="s">
        <v>227</v>
      </c>
      <c r="B10" t="s">
        <v>81</v>
      </c>
      <c r="C10" t="s">
        <v>215</v>
      </c>
      <c r="D10" t="s">
        <v>228</v>
      </c>
    </row>
    <row r="11" spans="1:4" x14ac:dyDescent="0.25">
      <c r="A11" t="s">
        <v>22</v>
      </c>
      <c r="B11" t="s">
        <v>22</v>
      </c>
      <c r="C11" t="s">
        <v>22</v>
      </c>
      <c r="D11" t="s">
        <v>22</v>
      </c>
    </row>
    <row r="12" spans="1:4" x14ac:dyDescent="0.25">
      <c r="A12" t="s">
        <v>22</v>
      </c>
      <c r="B12" t="s">
        <v>22</v>
      </c>
      <c r="C12" t="s">
        <v>22</v>
      </c>
      <c r="D12" t="s">
        <v>22</v>
      </c>
    </row>
    <row r="13" spans="1:4" x14ac:dyDescent="0.25">
      <c r="A13" t="s">
        <v>38</v>
      </c>
      <c r="B13" t="s">
        <v>74</v>
      </c>
      <c r="C13" t="s">
        <v>75</v>
      </c>
      <c r="D13" t="s">
        <v>76</v>
      </c>
    </row>
    <row r="14" spans="1:4" x14ac:dyDescent="0.25">
      <c r="A14" t="s">
        <v>229</v>
      </c>
      <c r="B14" t="s">
        <v>174</v>
      </c>
      <c r="C14" t="s">
        <v>174</v>
      </c>
      <c r="D14" t="s">
        <v>80</v>
      </c>
    </row>
    <row r="15" spans="1:4" x14ac:dyDescent="0.25">
      <c r="A15" t="s">
        <v>230</v>
      </c>
      <c r="B15" t="s">
        <v>174</v>
      </c>
      <c r="C15" t="s">
        <v>174</v>
      </c>
      <c r="D15" t="s">
        <v>80</v>
      </c>
    </row>
    <row r="16" spans="1:4" x14ac:dyDescent="0.25">
      <c r="A16" t="s">
        <v>231</v>
      </c>
      <c r="B16" t="s">
        <v>174</v>
      </c>
      <c r="C16" t="s">
        <v>174</v>
      </c>
      <c r="D16" t="s">
        <v>80</v>
      </c>
    </row>
    <row r="17" spans="1:4" x14ac:dyDescent="0.25">
      <c r="A17" t="s">
        <v>232</v>
      </c>
      <c r="B17" t="s">
        <v>174</v>
      </c>
      <c r="C17" t="s">
        <v>174</v>
      </c>
      <c r="D17" t="s">
        <v>80</v>
      </c>
    </row>
    <row r="18" spans="1:4" x14ac:dyDescent="0.25">
      <c r="A18" t="s">
        <v>233</v>
      </c>
      <c r="B18" t="s">
        <v>174</v>
      </c>
      <c r="C18" t="s">
        <v>218</v>
      </c>
      <c r="D18" t="s">
        <v>234</v>
      </c>
    </row>
    <row r="19" spans="1:4" x14ac:dyDescent="0.25">
      <c r="A19" t="s">
        <v>22</v>
      </c>
      <c r="B19" t="s">
        <v>22</v>
      </c>
      <c r="C19" t="s">
        <v>22</v>
      </c>
      <c r="D19" t="s">
        <v>22</v>
      </c>
    </row>
    <row r="20" spans="1:4" x14ac:dyDescent="0.25">
      <c r="A20" t="s">
        <v>22</v>
      </c>
      <c r="B20" t="s">
        <v>22</v>
      </c>
      <c r="C20" t="s">
        <v>22</v>
      </c>
      <c r="D20" t="s">
        <v>22</v>
      </c>
    </row>
    <row r="21" spans="1:4" x14ac:dyDescent="0.25">
      <c r="A21" t="s">
        <v>39</v>
      </c>
      <c r="B21" t="s">
        <v>74</v>
      </c>
      <c r="C21" t="s">
        <v>75</v>
      </c>
      <c r="D21" t="s">
        <v>76</v>
      </c>
    </row>
    <row r="22" spans="1:4" x14ac:dyDescent="0.25">
      <c r="A22" t="s">
        <v>235</v>
      </c>
      <c r="B22" t="s">
        <v>188</v>
      </c>
      <c r="C22" t="s">
        <v>219</v>
      </c>
      <c r="D22" t="s">
        <v>236</v>
      </c>
    </row>
    <row r="23" spans="1:4" x14ac:dyDescent="0.25">
      <c r="A23" t="s">
        <v>237</v>
      </c>
      <c r="B23" t="s">
        <v>186</v>
      </c>
      <c r="C23" t="s">
        <v>186</v>
      </c>
      <c r="D23" t="s">
        <v>80</v>
      </c>
    </row>
    <row r="24" spans="1:4" x14ac:dyDescent="0.25">
      <c r="A24" t="s">
        <v>238</v>
      </c>
      <c r="B24" t="s">
        <v>186</v>
      </c>
      <c r="C24" t="s">
        <v>186</v>
      </c>
      <c r="D24" t="s">
        <v>80</v>
      </c>
    </row>
    <row r="25" spans="1:4" x14ac:dyDescent="0.25">
      <c r="A25" t="s">
        <v>239</v>
      </c>
      <c r="B25" t="s">
        <v>173</v>
      </c>
      <c r="C25" t="s">
        <v>173</v>
      </c>
      <c r="D25" t="s">
        <v>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5A8590-70C5-4FAB-9208-D598AC12C5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1-Financeiro</vt:lpstr>
      <vt:lpstr>2-NovasUnidades</vt:lpstr>
      <vt:lpstr>3-RealocacaoEquipe</vt:lpstr>
      <vt:lpstr>4-ContratacaoEquipe</vt:lpstr>
      <vt:lpstr>5-Balanceamento</vt:lpstr>
      <vt:lpstr>6-Fluxo</vt:lpstr>
      <vt:lpstr>7-Uso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2025-12-04T12:11:07Z</dcterms:created>
  <dcterms:modified xsi:type="dcterms:W3CDTF">2025-12-04T19:31:16Z</dcterms:modified>
</cp:coreProperties>
</file>