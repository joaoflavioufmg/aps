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75088013-15B2-4711-AAB6-CCA873FACF76}" xr6:coauthVersionLast="47" xr6:coauthVersionMax="47" xr10:uidLastSave="{00000000-0000-0000-0000-000000000000}"/>
  <bookViews>
    <workbookView xWindow="405" yWindow="780" windowWidth="28395" windowHeight="1368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'1-Financeiro'!$A$1:$B$16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'12-Fluxo_RegCensitaria'!$A$1:$D$229</definedName>
    <definedName name="ExternalData_1" localSheetId="12" hidden="1">'13-Fluxo_PHC'!$A$1:$D$113</definedName>
    <definedName name="ExternalData_1" localSheetId="13" hidden="1">'14-Fluxo_SHC'!$A$1:$D$37</definedName>
    <definedName name="ExternalData_1" localSheetId="14" hidden="1">'15-Fluxo_THC'!$A$1:$D$15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'3-RealocacaoEquipe_PHC'!$A$1:$E$3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'6-ContratacaoEquipe_PHC'!$A$1:$C$8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'9-Balanceamento_PHC'!$A$1:$I$73</definedName>
    <definedName name="ExternalData_3" localSheetId="15" hidden="1">'16-Uso_PHC'!$A$1:$F$19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<sst xmlns="http://schemas.openxmlformats.org/spreadsheetml/2006/main" count="2098" uniqueCount="310">
  <si>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</si>
  <si>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</si>
  <si>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</si>
  <si>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</si>
  <si>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</si>
  <si>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</si>
  <si>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</si>
  <si>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</si>
  <si>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</si>
  <si>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</si>
  <si>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</si>
  <si>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</si>
  <si>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</si>
  <si>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</si>
  <si>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</si>
  <si>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</si>
  <si>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</si>
  <si>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</si>
  <si>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</si>
  <si>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</si>
  <si>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</si>
  <si>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</si>
  <si>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</si>
  <si>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</si>
  <si>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</si>
  <si>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</si>
  <si>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</si>
  <si>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</si>
  <si>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</si>
  <si>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</si>
  <si>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</si>
  <si>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</si>
  <si>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</si>
  <si>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</si>
  <si>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</si>
  <si>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</si>
  <si>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</si>
  <si>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</si>
  <si>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</si>
  <si>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</si>
  <si>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</si>
  <si>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</si>
  <si>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</si>
  <si>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</si>
  <si>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</si>
  <si>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</si>
  <si>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</si>
  <si>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</si>
  <si>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</si>
  <si>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</si>
  <si>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</si>
  <si>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</si>
  <si>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</si>
  <si>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</si>
  <si>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</si>
  <si>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</t>
  </si>
  <si>
    <t>0.1</t>
  </si>
  <si>
    <t>0.26</t>
  </si>
  <si>
    <t>Dist (km)</t>
  </si>
  <si>
    <t>0.2</t>
  </si>
  <si>
    <t>L[SHC1] tel</t>
  </si>
  <si>
    <t>0.51</t>
  </si>
  <si>
    <t>0.35</t>
  </si>
  <si>
    <t>EQ2</t>
  </si>
  <si>
    <t>10.0</t>
  </si>
  <si>
    <t>0.69</t>
  </si>
  <si>
    <t>EQ3</t>
  </si>
  <si>
    <t>20.00</t>
  </si>
  <si>
    <t>25.00</t>
  </si>
  <si>
    <t>0.63</t>
  </si>
  <si>
    <t>1.19</t>
  </si>
  <si>
    <t>1.33</t>
  </si>
  <si>
    <t>ACS</t>
  </si>
  <si>
    <t>4.00</t>
  </si>
  <si>
    <t>8.00</t>
  </si>
  <si>
    <t>4.0</t>
  </si>
  <si>
    <t>8.0</t>
  </si>
  <si>
    <t>SHC[SHC1]</t>
  </si>
  <si>
    <t>THC[THC1]</t>
  </si>
  <si>
    <t>0.9</t>
  </si>
  <si>
    <t>0.86</t>
  </si>
  <si>
    <t>1.18</t>
  </si>
  <si>
    <t>Exp</t>
  </si>
  <si>
    <t>TCapty</t>
  </si>
  <si>
    <t>Expansion cost [Existing]:</t>
  </si>
  <si>
    <t>RegiaoCensitaria</t>
  </si>
  <si>
    <t>Local_Destino</t>
  </si>
  <si>
    <t>Qde_Pop</t>
  </si>
  <si>
    <t>Parameters</t>
  </si>
  <si>
    <t>Values</t>
  </si>
  <si>
    <t>Values_</t>
  </si>
  <si>
    <t>[3137602116561]</t>
  </si>
  <si>
    <t>[3137602116545]</t>
  </si>
  <si>
    <t>[3137605402034]</t>
  </si>
  <si>
    <t>[3137602116553]</t>
  </si>
  <si>
    <t>[3137605324920]</t>
  </si>
  <si>
    <t>[3137605324912]</t>
  </si>
  <si>
    <t>[3137602116588]</t>
  </si>
  <si>
    <t>[3137605402417]</t>
  </si>
  <si>
    <t>[3137602117363]</t>
  </si>
  <si>
    <t>[3137605324904]</t>
  </si>
  <si>
    <t>[3137602116537]</t>
  </si>
  <si>
    <t>[3137605402425]</t>
  </si>
  <si>
    <t>[3137604334663]</t>
  </si>
  <si>
    <t>[3137609342923]</t>
  </si>
  <si>
    <t>RC[CLU_10096]</t>
  </si>
  <si>
    <t>L[3137605402425]</t>
  </si>
  <si>
    <t>L[3137605402425] tel</t>
  </si>
  <si>
    <t>RC[CLU_5616]</t>
  </si>
  <si>
    <t>L[3137609342923]</t>
  </si>
  <si>
    <t>RC[CLU_5617]</t>
  </si>
  <si>
    <t>L[3137602116561]</t>
  </si>
  <si>
    <t>L[3137602116561] tel</t>
  </si>
  <si>
    <t>RC[CLU_5618]</t>
  </si>
  <si>
    <t>L[3137605402034]</t>
  </si>
  <si>
    <t>RC[CLU_5619]</t>
  </si>
  <si>
    <t>RC[CLU_5620]</t>
  </si>
  <si>
    <t>RC[CLU_5621]</t>
  </si>
  <si>
    <t>L[3137605324912]</t>
  </si>
  <si>
    <t>L[3137605324904]</t>
  </si>
  <si>
    <t>RC[CLU_5622]</t>
  </si>
  <si>
    <t>L[3137602117363]</t>
  </si>
  <si>
    <t>L[3137602117363] tel</t>
  </si>
  <si>
    <t>RC[CLU_5623]</t>
  </si>
  <si>
    <t>L[3137602116545]</t>
  </si>
  <si>
    <t>RC[CLU_5624]</t>
  </si>
  <si>
    <t>RC[CLU_5625]</t>
  </si>
  <si>
    <t>L[3137602116537]</t>
  </si>
  <si>
    <t>L[3137602116537] tel</t>
  </si>
  <si>
    <t>RC[CLU_5626]</t>
  </si>
  <si>
    <t>L[3137602116553]</t>
  </si>
  <si>
    <t>RC[CLU_5627]</t>
  </si>
  <si>
    <t>L[3137602116553] tel</t>
  </si>
  <si>
    <t>RC[CLU_5628]</t>
  </si>
  <si>
    <t>L[3137605402034] tel</t>
  </si>
  <si>
    <t>RC[CLU_5629]</t>
  </si>
  <si>
    <t>L[CLU_5629]</t>
  </si>
  <si>
    <t>RC[CLU_5630]</t>
  </si>
  <si>
    <t>L[3137605324920]</t>
  </si>
  <si>
    <t>RC[CLU_5631]</t>
  </si>
  <si>
    <t>1.24</t>
  </si>
  <si>
    <t>RC[CLU_5632]</t>
  </si>
  <si>
    <t>L[3137605324912] tel</t>
  </si>
  <si>
    <t>L[3137605324904] tel</t>
  </si>
  <si>
    <t>RC[CLU_5633]</t>
  </si>
  <si>
    <t>L[3137602116588]</t>
  </si>
  <si>
    <t>RC[CLU_5634]</t>
  </si>
  <si>
    <t>L[3137605402417]</t>
  </si>
  <si>
    <t>L[3137605402417] tel</t>
  </si>
  <si>
    <t>RC[CLU_5635]</t>
  </si>
  <si>
    <t>RC[CLU_5636]</t>
  </si>
  <si>
    <t>RC[CLU_5637]</t>
  </si>
  <si>
    <t>RC[CLU_5638]</t>
  </si>
  <si>
    <t>L[3137605324920] tel</t>
  </si>
  <si>
    <t>RC[CLU_5639]</t>
  </si>
  <si>
    <t>L[3137602116588] tel</t>
  </si>
  <si>
    <t>RC[CLU_5640]</t>
  </si>
  <si>
    <t>RC[CLU_5641]</t>
  </si>
  <si>
    <t>RC[CLU_5642]</t>
  </si>
  <si>
    <t>RC[CLU_5643]</t>
  </si>
  <si>
    <t>RC[CLU_5644]</t>
  </si>
  <si>
    <t>RC[CLU_5645]</t>
  </si>
  <si>
    <t>RC[CLU_5646]</t>
  </si>
  <si>
    <t>RC[CLU_5647]</t>
  </si>
  <si>
    <t>RC[CLU_5648]</t>
  </si>
  <si>
    <t>RC[CLU_5649]</t>
  </si>
  <si>
    <t>L[3137604334663]</t>
  </si>
  <si>
    <t>RC[CLU_5650]</t>
  </si>
  <si>
    <t>2.42</t>
  </si>
  <si>
    <t>RC[CLU_5652]</t>
  </si>
  <si>
    <t>RC[CLU_5653]</t>
  </si>
  <si>
    <t>RC[CLU_5655]</t>
  </si>
  <si>
    <t>PHC[3137605402034]</t>
  </si>
  <si>
    <t>L[CLU_5618]</t>
  </si>
  <si>
    <t>L[CLU_5628]</t>
  </si>
  <si>
    <t>L[CLU_5637]</t>
  </si>
  <si>
    <t>PHC[3137602116553]</t>
  </si>
  <si>
    <t>L[CLU_5626]</t>
  </si>
  <si>
    <t>L[CLU_5627]</t>
  </si>
  <si>
    <t>PHC[3137605324920]</t>
  </si>
  <si>
    <t>L[CLU_5630]</t>
  </si>
  <si>
    <t>L[CLU_5638]</t>
  </si>
  <si>
    <t>L[CLU_5650]</t>
  </si>
  <si>
    <t>PHC[3137605324912]</t>
  </si>
  <si>
    <t>L[CLU_5621]</t>
  </si>
  <si>
    <t>L[CLU_5632]</t>
  </si>
  <si>
    <t>PHC[3137602116588]</t>
  </si>
  <si>
    <t>L[CLU_5633]</t>
  </si>
  <si>
    <t>PHC[3137605402417]</t>
  </si>
  <si>
    <t>L[CLU_5634]</t>
  </si>
  <si>
    <t>L[CLU_5641]</t>
  </si>
  <si>
    <t>PHC[3137602117363]</t>
  </si>
  <si>
    <t>L[CLU_5622]</t>
  </si>
  <si>
    <t>L[CLU_5625]</t>
  </si>
  <si>
    <t>L[CLU_5635]</t>
  </si>
  <si>
    <t>L[CLU_5640]</t>
  </si>
  <si>
    <t>L[CLU_5645]</t>
  </si>
  <si>
    <t>L[CLU_5648]</t>
  </si>
  <si>
    <t>L[CLU_5655]</t>
  </si>
  <si>
    <t>PHC[3137605324904]</t>
  </si>
  <si>
    <t>PHC[3137602116537]</t>
  </si>
  <si>
    <t>PHC[3137602116545]</t>
  </si>
  <si>
    <t>L[CLU_5623]</t>
  </si>
  <si>
    <t>PHC[3137605402425]</t>
  </si>
  <si>
    <t>L[CLU_5619]</t>
  </si>
  <si>
    <t>L[CLU_5620]</t>
  </si>
  <si>
    <t>L[CLU_5631]</t>
  </si>
  <si>
    <t>L[CLU_5642]</t>
  </si>
  <si>
    <t>L[CLU_5646]</t>
  </si>
  <si>
    <t>L[CLU_5652]</t>
  </si>
  <si>
    <t>PHC[3137602116561]</t>
  </si>
  <si>
    <t>L[CLU_5647]</t>
  </si>
  <si>
    <t>PHC[3137604334663]</t>
  </si>
  <si>
    <t>L[CLU_5649]</t>
  </si>
  <si>
    <t>PHC[3137609342923]</t>
  </si>
  <si>
    <t>L[CLU_5616]</t>
  </si>
  <si>
    <t>L[CLU_10096]</t>
  </si>
  <si>
    <t>L[CLU_5617]</t>
  </si>
  <si>
    <t>L[CLU_5624]</t>
  </si>
  <si>
    <t>L[CLU_5636]</t>
  </si>
  <si>
    <t>L[CLU_5643]</t>
  </si>
  <si>
    <t>L[CLU_5644]</t>
  </si>
  <si>
    <t>L[CLU_5639]</t>
  </si>
  <si>
    <t>L[CLU_5653]</t>
  </si>
  <si>
    <t>Expansion cost [Candidate]:</t>
  </si>
  <si>
    <t>1.12</t>
  </si>
  <si>
    <t>7.0</t>
  </si>
  <si>
    <t>6.0</t>
  </si>
  <si>
    <t>0.8</t>
  </si>
  <si>
    <t>[3137602168332]</t>
  </si>
  <si>
    <t>11.0</t>
  </si>
  <si>
    <t>9.0</t>
  </si>
  <si>
    <t>13.0</t>
  </si>
  <si>
    <t>12.0</t>
  </si>
  <si>
    <t>[3137602116529]</t>
  </si>
  <si>
    <t>[3137606897061]</t>
  </si>
  <si>
    <t>[3137606844286]</t>
  </si>
  <si>
    <t>L[3137602168332]</t>
  </si>
  <si>
    <t>1.82</t>
  </si>
  <si>
    <t>L[3137602168332] tel</t>
  </si>
  <si>
    <t>L[3137602116529]</t>
  </si>
  <si>
    <t>L[3137602116529] tel</t>
  </si>
  <si>
    <t>L[3137604334663] tel</t>
  </si>
  <si>
    <t>1.60</t>
  </si>
  <si>
    <t>L[3137606844286]</t>
  </si>
  <si>
    <t>L[3137606844286] tel</t>
  </si>
  <si>
    <t>1.51</t>
  </si>
  <si>
    <t>L[3137606897061]</t>
  </si>
  <si>
    <t>0.41</t>
  </si>
  <si>
    <t>L[3137606897061] tel</t>
  </si>
  <si>
    <t>2.13</t>
  </si>
  <si>
    <t>RC[CLU_5651]</t>
  </si>
  <si>
    <t>L[3137602116545] tel</t>
  </si>
  <si>
    <t>3.89</t>
  </si>
  <si>
    <t>RC[CLU_5654]</t>
  </si>
  <si>
    <t>L[CLU_5651]</t>
  </si>
  <si>
    <t>PHC[3137602168332]</t>
  </si>
  <si>
    <t>PHC[3137602116529]</t>
  </si>
  <si>
    <t>PHC[3137606897061]</t>
  </si>
  <si>
    <t>L[CLU_5654]</t>
  </si>
  <si>
    <t>PHC[3137606844286]</t>
  </si>
  <si>
    <t xml:space="preserve"> 1.00</t>
  </si>
  <si>
    <t>5.0</t>
  </si>
  <si>
    <t>3.10</t>
  </si>
  <si>
    <t>1.83</t>
  </si>
  <si>
    <t>40000</t>
  </si>
  <si>
    <t>10000</t>
  </si>
  <si>
    <t>1.08</t>
  </si>
  <si>
    <t>1.46</t>
  </si>
  <si>
    <t>2.59</t>
  </si>
  <si>
    <t>0.79</t>
  </si>
  <si>
    <t>4.45</t>
  </si>
  <si>
    <t>4.70</t>
  </si>
  <si>
    <t>2.25</t>
  </si>
  <si>
    <t>1.99</t>
  </si>
  <si>
    <t>1.87</t>
  </si>
  <si>
    <t>0.60</t>
  </si>
  <si>
    <t>4.53</t>
  </si>
  <si>
    <t>2.46</t>
  </si>
  <si>
    <t>2.68</t>
  </si>
  <si>
    <t>1.57</t>
  </si>
  <si>
    <t xml:space="preserve"> 0.95</t>
  </si>
  <si>
    <t>0.11</t>
  </si>
  <si>
    <t>0.22</t>
  </si>
  <si>
    <t>1.54</t>
  </si>
  <si>
    <t>2.70</t>
  </si>
  <si>
    <t>4.42</t>
  </si>
  <si>
    <t>3.21</t>
  </si>
  <si>
    <t>2.15</t>
  </si>
  <si>
    <t>L[3137609342923] tel</t>
  </si>
  <si>
    <t>2.22</t>
  </si>
  <si>
    <t>3.76</t>
  </si>
  <si>
    <t>Budget Overrun:</t>
  </si>
  <si>
    <t>Effective Budget:</t>
  </si>
  <si>
    <t>7.94</t>
  </si>
  <si>
    <t>2.1</t>
  </si>
  <si>
    <t>1.71</t>
  </si>
  <si>
    <t>0.83</t>
  </si>
  <si>
    <t>1.66</t>
  </si>
  <si>
    <t>2.11</t>
  </si>
  <si>
    <t>3.44</t>
  </si>
  <si>
    <t>1.41</t>
  </si>
  <si>
    <t>1.59</t>
  </si>
  <si>
    <t>4.84</t>
  </si>
  <si>
    <t>2876</t>
  </si>
  <si>
    <t xml:space="preserve"> 0.96</t>
  </si>
  <si>
    <t>5709</t>
  </si>
  <si>
    <t>23811</t>
  </si>
  <si>
    <t>5960</t>
  </si>
  <si>
    <t>Overrun (%):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</si>
</sst>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000%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44" fontId="0" fillId="0" borderId="0" xfId="1" applyFont="1"/>
    <xf numFmtId="165" fontId="0" fillId="0" borderId="0" xfId="2" applyNumberFormat="1" applyFont="1"/>
    <xf numFmtId="1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6" tableType="queryTable" totalsRowShown="0">
  <autoFilter ref="A1:C16" xr:uid="{4379D004-ADC7-4F7D-BCC8-119DAE469CE9}"/>
  <tableColumns count="3">
    <tableColumn id="1" xr3:uid="{BA2095FB-799C-446A-9545-2548A27B0CD2}" uniqueName="1" name="Parameters" queryTableFieldId="4" dataDxfId="1" dataCellStyle="Currency"/>
    <tableColumn id="2" xr3:uid="{D92FC278-9EDE-49C9-9C0A-25FE7CCBE9EA}" uniqueName="2" name="Values" queryTableFieldId="5" dataDxfId="0" dataCellStyle="Currency"/>
    <tableColumn id="3" xr3:uid="{B4C70203-1523-4FF1-B1F7-4593D80C9279}" uniqueName="3" name="Values_" queryTableFieldId="3" dataDxfId="65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4"/>
    <tableColumn id="2" xr3:uid="{0A3B9DC8-8ECE-4EF9-98CE-54AC6B39948B}" uniqueName="2" name="Qty" queryTableFieldId="6" dataDxfId="63"/>
    <tableColumn id="3" xr3:uid="{EC25C3B6-F36D-4B40-86AD-C89AD5CB0CFC}" uniqueName="3" name="Max" queryTableFieldId="7" dataDxfId="62"/>
    <tableColumn id="4" xr3:uid="{2ECC4C39-0BD1-44BD-916C-333101472770}" uniqueName="4" name="Use (%)" queryTableFieldId="8" dataDxfId="6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3" tableType="queryTable" totalsRowShown="0" headerRowDxfId="60">
  <autoFilter ref="A1:E3" xr:uid="{1DCAC603-AECA-4137-84F1-56ABD5419EB7}"/>
  <tableColumns count="5">
    <tableColumn id="1" xr3:uid="{E7707C98-82AE-4373-BE55-CE0052E81C40}" uniqueName="1" name="From" queryTableFieldId="6" dataDxfId="59"/>
    <tableColumn id="2" xr3:uid="{5AFF53F0-8B45-4174-8344-B292867067CA}" uniqueName="2" name="To" queryTableFieldId="7" dataDxfId="58"/>
    <tableColumn id="3" xr3:uid="{115BAA04-A369-4100-9DD0-F58913595039}" uniqueName="3" name="Team" queryTableFieldId="8" dataDxfId="57"/>
    <tableColumn id="4" xr3:uid="{6818C72A-28C8-4769-89EC-890D1E9B50D1}" uniqueName="4" name="Qty" queryTableFieldId="9" dataDxfId="56"/>
    <tableColumn id="5" xr3:uid="{BCCE69B2-8F04-41BC-8B72-34F684A5FF92}" uniqueName="5" name="Dist (km)" queryTableFieldId="10" dataDxfId="5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8" tableType="queryTable" totalsRowShown="0">
  <autoFilter ref="A1:C8" xr:uid="{88653CE7-50CC-4554-8F77-C1E458D1C2FD}"/>
  <tableColumns count="3">
    <tableColumn id="1" xr3:uid="{9A8E03AF-165D-4AFE-AC17-62F6FEBDC03F}" uniqueName="1" name="Location" queryTableFieldId="4"/>
    <tableColumn id="2" xr3:uid="{CEAAF061-D048-4BAF-9780-EC029037BED9}" uniqueName="2" name="Team" queryTableFieldId="5"/>
    <tableColumn id="3" xr3:uid="{870DDFAA-2321-4B24-8F06-3FA5927B1B5A}" uniqueName="3" name="Qty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insertRow="1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73" tableType="queryTable" totalsRowShown="0">
  <autoFilter ref="A1:I73" xr:uid="{41B65F2D-ED88-4595-B688-FDE8EBF15CE5}"/>
  <tableColumns count="9">
    <tableColumn id="1" xr3:uid="{654F91E4-9F7B-43C7-8E2B-6258EB829867}" uniqueName="1" name="Loc" queryTableFieldId="10" dataDxfId="54"/>
    <tableColumn id="2" xr3:uid="{BA05895D-7313-449D-9273-C544D15A2B0F}" uniqueName="2" name="Team" queryTableFieldId="11" dataDxfId="53"/>
    <tableColumn id="3" xr3:uid="{D115C363-43AA-4AC1-9FDC-97A78B26EDEC}" uniqueName="3" name="CNES" queryTableFieldId="12" dataDxfId="52"/>
    <tableColumn id="4" xr3:uid="{E9460AE7-6CFF-4BA5-A7ED-9DEF9CA59EE2}" uniqueName="4" name="Req" queryTableFieldId="13" dataDxfId="51"/>
    <tableColumn id="5" xr3:uid="{575E8E98-239A-4C38-AFAE-C4CB59D09F50}" uniqueName="5" name="Transf" queryTableFieldId="14" dataDxfId="50"/>
    <tableColumn id="6" xr3:uid="{9A46DBD0-9C98-4BA6-9F1D-F01577F86B46}" uniqueName="6" name="New" queryTableFieldId="15" dataDxfId="49"/>
    <tableColumn id="7" xr3:uid="{DF457247-2239-4290-BFC9-05A72033A63D}" uniqueName="7" name="Res" queryTableFieldId="16" dataDxfId="48"/>
    <tableColumn id="8" xr3:uid="{B87D18A7-774E-419A-B965-514B56E2A3DF}" uniqueName="8" name="Surp" queryTableFieldId="17" dataDxfId="47"/>
    <tableColumn id="9" xr3:uid="{76798E6E-2CFA-4E61-95BE-7B79A7E8596A}" uniqueName="9" name="Def" queryTableFieldId="18" dataDxfId="4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45"/>
    <tableColumn id="2" xr3:uid="{C8BFC8EC-992C-4FA2-B4E4-98EE932E4A46}" uniqueName="2" name="Team" queryTableFieldId="11" dataDxfId="44"/>
    <tableColumn id="3" xr3:uid="{1E081DD2-D5EE-4C4F-869E-0470678F155F}" uniqueName="3" name="CNES" queryTableFieldId="12" dataDxfId="43"/>
    <tableColumn id="4" xr3:uid="{41775621-C361-40DF-A842-E11D55470803}" uniqueName="4" name="Req" queryTableFieldId="13" dataDxfId="42"/>
    <tableColumn id="5" xr3:uid="{4CE50914-353E-4E3C-8005-7105D79C804B}" uniqueName="5" name="Transf" queryTableFieldId="14" dataDxfId="41"/>
    <tableColumn id="6" xr3:uid="{31A21B74-33D5-407F-AD9F-88D85B0A2DCF}" uniqueName="6" name="New" queryTableFieldId="15" dataDxfId="40"/>
    <tableColumn id="7" xr3:uid="{50BFECD5-D938-4562-97A0-7149A240B550}" uniqueName="7" name="Res" queryTableFieldId="16" dataDxfId="39"/>
    <tableColumn id="8" xr3:uid="{61009D5B-B8B7-4912-96E4-AA8BF583454B}" uniqueName="8" name="Surp" queryTableFieldId="17" dataDxfId="38"/>
    <tableColumn id="9" xr3:uid="{CCD0B8F7-223F-4E5C-A181-D863EE03E27A}" uniqueName="9" name="Def" queryTableFieldId="18" dataDxfId="3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36"/>
    <tableColumn id="2" xr3:uid="{85B06401-62E7-434C-8AC6-9585DDE8DDB8}" uniqueName="2" name="Team" queryTableFieldId="11" dataDxfId="35"/>
    <tableColumn id="3" xr3:uid="{5084FC15-EA28-421F-8788-DDABE3B248F3}" uniqueName="3" name="CNES" queryTableFieldId="12" dataDxfId="34"/>
    <tableColumn id="4" xr3:uid="{267857F8-37A1-45B0-BA8D-F1A4179A9AA9}" uniqueName="4" name="Req" queryTableFieldId="13" dataDxfId="33"/>
    <tableColumn id="5" xr3:uid="{57A21197-9E73-4F32-AB9D-F2F9160F9194}" uniqueName="5" name="Transf" queryTableFieldId="14" dataDxfId="32"/>
    <tableColumn id="6" xr3:uid="{4B37F270-5F8F-475F-90DB-3223E809E63C}" uniqueName="6" name="New" queryTableFieldId="15" dataDxfId="31"/>
    <tableColumn id="7" xr3:uid="{D7F20F01-8E0F-4B51-ACAE-6FFA7146767C}" uniqueName="7" name="Res" queryTableFieldId="16" dataDxfId="30"/>
    <tableColumn id="8" xr3:uid="{A064683B-92FC-4B5A-A6E5-A8FCC1E68224}" uniqueName="8" name="Surp" queryTableFieldId="17" dataDxfId="29"/>
    <tableColumn id="9" xr3:uid="{5FA5A604-8A23-4977-ADE9-CA3FDABACDBC}" uniqueName="9" name="Def" queryTableFieldId="18" dataDxfId="2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229" tableType="queryTable" totalsRowShown="0">
  <autoFilter ref="A1:D229" xr:uid="{3E6E97C7-BD67-4422-B8D3-B0D3A3EBF2B3}"/>
  <tableColumns count="4">
    <tableColumn id="1" xr3:uid="{FA856C66-FFBD-4B3C-A3DE-C730D9C4223B}" uniqueName="1" name="RegiaoCensitaria" queryTableFieldId="5" dataDxfId="27"/>
    <tableColumn id="2" xr3:uid="{2E4FA71E-858B-4DF8-A52A-2E7BDF0769FF}" uniqueName="2" name="Local_Destino" queryTableFieldId="6" dataDxfId="26"/>
    <tableColumn id="3" xr3:uid="{FD49C389-4EA3-4FE0-84AC-FDA3151D8B27}" uniqueName="3" name="Qde_Pop" queryTableFieldId="7"/>
    <tableColumn id="4" xr3:uid="{196C962F-E199-41F1-835A-7CE68910808B}" uniqueName="4" name="Dist (km)" queryTableFieldId="8" dataDxfId="2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113" tableType="queryTable" totalsRowShown="0">
  <autoFilter ref="A1:D113" xr:uid="{0EFE13FE-6E98-4201-BD11-DDA2F88CCEFF}"/>
  <tableColumns count="4">
    <tableColumn id="1" xr3:uid="{A089B0E6-E4FA-4607-8E76-31EB6EDB39FC}" uniqueName="1" name="PHC" queryTableFieldId="5" dataDxfId="24"/>
    <tableColumn id="2" xr3:uid="{D5CF211D-ED76-4928-9EB4-9D7061A8FA1C}" uniqueName="2" name="Local_Destino" queryTableFieldId="6" dataDxfId="23"/>
    <tableColumn id="3" xr3:uid="{8C2D25DD-FD88-4C98-8AE5-98B763E98977}" uniqueName="3" name="Qde_Pop" queryTableFieldId="7"/>
    <tableColumn id="4" xr3:uid="{7F369760-F755-4256-9D21-A1B179AC6836}" uniqueName="4" name="Dist (km)" queryTableFieldId="8" dataDxfId="2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37" tableType="queryTable" totalsRowShown="0">
  <autoFilter ref="A1:D37" xr:uid="{862C0F51-C62E-4330-942B-AE0B4D068168}"/>
  <tableColumns count="4">
    <tableColumn id="1" xr3:uid="{5D7632ED-1F10-4E46-9746-1A90A9576CC6}" uniqueName="1" name="SHC" queryTableFieldId="5" dataDxfId="21"/>
    <tableColumn id="2" xr3:uid="{6E3C44D6-2193-4621-A081-85C1CD47F565}" uniqueName="2" name="Local_Destino" queryTableFieldId="6" dataDxfId="20"/>
    <tableColumn id="3" xr3:uid="{0CB27BB1-5B7E-43ED-B93F-C81A3377593A}" uniqueName="3" name="Qde_Pop" queryTableFieldId="7"/>
    <tableColumn id="4" xr3:uid="{11D108AF-EE6B-4CF9-A48B-1E84E479F4FE}" uniqueName="4" name="Dist (km)" queryTableFieldId="8" dataDxfId="1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15" tableType="queryTable" totalsRowShown="0">
  <autoFilter ref="A1:D15" xr:uid="{59C17923-B731-4732-BB9C-E59FB46DB15D}"/>
  <tableColumns count="4">
    <tableColumn id="1" xr3:uid="{F7520ACB-6859-43CD-8D83-061885088C5F}" uniqueName="1" name="Column1" queryTableFieldId="1" dataDxfId="18"/>
    <tableColumn id="2" xr3:uid="{8A29FCA1-385F-4996-A27A-2586725CA265}" uniqueName="2" name="Local_Destino" queryTableFieldId="5" dataDxfId="17"/>
    <tableColumn id="3" xr3:uid="{8543A04A-ED0E-4705-AF19-048909C625D9}" uniqueName="3" name="Qde_Pop" queryTableFieldId="6"/>
    <tableColumn id="4" xr3:uid="{B081B857-C4F4-4FB3-8FC7-6BA676C5D006}" uniqueName="4" name="Dist (km)" queryTableFieldId="7" dataDxfId="1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19" tableType="queryTable" totalsRowShown="0">
  <autoFilter ref="A1:F19" xr:uid="{5BD967F1-8752-460D-B1B3-B8752CE85659}"/>
  <tableColumns count="6">
    <tableColumn id="1" xr3:uid="{D9CECBC1-D944-4ECD-A48B-A226030FEE39}" uniqueName="1" name="PHC" queryTableFieldId="1" dataDxfId="15"/>
    <tableColumn id="2" xr3:uid="{ACB576D0-276A-4F52-82DC-F4A5CF749189}" uniqueName="2" name="Capty" queryTableFieldId="2" dataDxfId="14"/>
    <tableColumn id="3" xr3:uid="{BD143F53-7242-428D-B718-F48E30FCBBD5}" uniqueName="3" name="Exp" queryTableFieldId="3" dataDxfId="13"/>
    <tableColumn id="4" xr3:uid="{6E7C0471-101F-4095-8B44-28517277F9D9}" uniqueName="4" name="TCapty" queryTableFieldId="4" dataDxfId="12"/>
    <tableColumn id="5" xr3:uid="{21A85211-C7F0-41E8-8524-02F55CD81DA7}" uniqueName="5" name="Met" queryTableFieldId="5" dataDxfId="11"/>
    <tableColumn id="7" xr3:uid="{7E724501-FEB8-46C3-BCCB-4DA9613A2C26}" uniqueName="7" name="Use" queryTableFieldId="7" dataDxfId="1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9"/>
    <tableColumn id="2" xr3:uid="{CC9E6E55-0299-405A-AF2F-49BED210393B}" uniqueName="2" name="Capty" queryTableFieldId="6" dataDxfId="8"/>
    <tableColumn id="3" xr3:uid="{042F5D57-8BC7-4718-8CC6-8D362CAF1462}" uniqueName="3" name="Met" queryTableFieldId="7" dataDxfId="7"/>
    <tableColumn id="4" xr3:uid="{97473C2D-84AC-4A94-B8A7-BE375503D7AF}" uniqueName="4" name="Use" queryTableFieldId="8" dataDxfId="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5"/>
    <tableColumn id="2" xr3:uid="{838632D7-C783-4D41-9D58-9F4F851B81B9}" uniqueName="2" name="Capty" queryTableFieldId="6" dataDxfId="4"/>
    <tableColumn id="3" xr3:uid="{1B7C6C57-E24F-4774-944B-8D9B48ADCF75}" uniqueName="3" name="Met" queryTableFieldId="7" dataDxfId="3"/>
    <tableColumn id="4" xr3:uid="{B9C63FCE-E5E9-48EC-BADD-51FE24DE6419}" uniqueName="4" name="Use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6"/>
  <sheetViews>
    <sheetView tabSelected="1" zoomScaleNormal="100" workbookViewId="0">
      <selection activeCell="C14" sqref="C14"/>
    </sheetView>
  </sheetViews>
  <sheetFormatPr defaultRowHeight="15" x14ac:dyDescent="0.25"/>
  <cols>
    <col min="1" max="1" width="26" bestFit="1" customWidth="1"/>
    <col min="2" max="2" width="22" hidden="1" customWidth="1"/>
    <col min="3" max="3" width="12.5703125" bestFit="1" customWidth="1"/>
    <col min="4" max="4" width="11.42578125" bestFit="1" customWidth="1"/>
    <col min="5" max="5" width="12.42578125" bestFit="1" customWidth="1"/>
    <col min="8" max="8" width="10.42578125" customWidth="1"/>
    <col min="15" max="15" width="12" customWidth="1"/>
  </cols>
  <sheetData>
    <row r="1" spans="1:13" x14ac:dyDescent="0.25">
      <c r="A1" t="s">
        <v>88</v>
      </c>
      <c r="B1" t="s">
        <v>89</v>
      </c>
      <c r="C1" t="s">
        <v>90</v>
      </c>
    </row>
    <row r="2" spans="1:13" x14ac:dyDescent="0.25">
      <c r="A2" s="4" t="s">
        <v>1</v>
      </c>
      <c r="B2" s="5">
        <v>65499988</v>
      </c>
      <c r="C2" s="7">
        <f>_1_Financeiro[[#This Row],[Values]]/100</f>
        <v>654999.88</v>
      </c>
    </row>
    <row r="3" spans="1:13" x14ac:dyDescent="0.25">
      <c r="A3" s="4" t="s">
        <v>2</v>
      </c>
      <c r="B3" s="5">
        <v>1574856500</v>
      </c>
      <c r="C3" s="7">
        <f>_1_Financeiro[[#This Row],[Values]]/100</f>
        <v>15748565</v>
      </c>
    </row>
    <row r="4" spans="1:13" x14ac:dyDescent="0.25">
      <c r="A4" s="4" t="s">
        <v>84</v>
      </c>
      <c r="B4" s="5">
        <v>0</v>
      </c>
      <c r="C4" s="4">
        <f>_1_Financeiro[[#This Row],[Values]]/100</f>
        <v>0</v>
      </c>
    </row>
    <row r="5" spans="1:13" x14ac:dyDescent="0.25">
      <c r="A5" s="4" t="s">
        <v>3</v>
      </c>
      <c r="B5" s="5">
        <v>0</v>
      </c>
      <c r="C5" s="4">
        <f>_1_Financeiro[[#This Row],[Values]]/100</f>
        <v>0</v>
      </c>
    </row>
    <row r="6" spans="1:13" x14ac:dyDescent="0.25">
      <c r="A6" s="4" t="s">
        <v>224</v>
      </c>
      <c r="B6" s="5">
        <v>0</v>
      </c>
      <c r="C6" s="4">
        <f>_1_Financeiro[[#This Row],[Values]]/100</f>
        <v>0</v>
      </c>
    </row>
    <row r="7" spans="1:13" x14ac:dyDescent="0.25">
      <c r="A7" s="4" t="s">
        <v>4</v>
      </c>
      <c r="B7" s="5">
        <v>73673600</v>
      </c>
      <c r="C7" s="4">
        <f>_1_Financeiro[[#This Row],[Values]]/100</f>
        <v>736736</v>
      </c>
    </row>
    <row r="8" spans="1:13" x14ac:dyDescent="0.25">
      <c r="A8" s="4" t="s">
        <v>5</v>
      </c>
      <c r="B8" s="5">
        <v>14328</v>
      </c>
      <c r="C8" s="7">
        <f>_1_Financeiro[[#This Row],[Values]]/100</f>
        <v>143.28</v>
      </c>
      <c r="M8" s="2"/>
    </row>
    <row r="9" spans="1:13" x14ac:dyDescent="0.25">
      <c r="A9" s="4" t="s">
        <v>6</v>
      </c>
      <c r="B9" s="5">
        <v>57207471</v>
      </c>
      <c r="C9" s="7">
        <f>_1_Financeiro[[#This Row],[Values]]/100</f>
        <v>572074.71</v>
      </c>
      <c r="M9" s="2"/>
    </row>
    <row r="10" spans="1:13" x14ac:dyDescent="0.25">
      <c r="A10" s="4" t="s">
        <v>7</v>
      </c>
      <c r="B10" s="5">
        <v>726260707477</v>
      </c>
      <c r="C10" s="7">
        <f>_1_Financeiro[[#This Row],[Values]]/100</f>
        <v>7262607074.7700005</v>
      </c>
      <c r="M10" s="3"/>
    </row>
    <row r="11" spans="1:13" x14ac:dyDescent="0.25">
      <c r="A11" s="4" t="s">
        <v>8</v>
      </c>
      <c r="B11" s="5">
        <v>1705751899</v>
      </c>
      <c r="C11" s="7">
        <f>_1_Financeiro[[#This Row],[Values]]/100</f>
        <v>17057518.989999998</v>
      </c>
    </row>
    <row r="12" spans="1:13" x14ac:dyDescent="0.25">
      <c r="A12" s="4" t="s">
        <v>9</v>
      </c>
      <c r="B12" s="5">
        <v>1633302953</v>
      </c>
      <c r="C12" s="7">
        <f>_1_Financeiro[[#This Row],[Values]]/100</f>
        <v>16333029.529999999</v>
      </c>
    </row>
    <row r="13" spans="1:13" x14ac:dyDescent="0.25">
      <c r="A13" s="4" t="s">
        <v>23</v>
      </c>
      <c r="B13" s="5">
        <v>104</v>
      </c>
      <c r="C13" s="1">
        <f>_1_Financeiro[[#This Row],[Values]]/100</f>
        <v>1.04</v>
      </c>
    </row>
    <row r="14" spans="1:13" x14ac:dyDescent="0.25">
      <c r="A14" s="4" t="s">
        <v>292</v>
      </c>
      <c r="B14" s="5">
        <v>72448946</v>
      </c>
      <c r="C14" s="7">
        <f>_1_Financeiro[[#This Row],[Values]]/100</f>
        <v>724489.46</v>
      </c>
    </row>
    <row r="15" spans="1:13" x14ac:dyDescent="0.25">
      <c r="A15" s="4" t="s">
        <v>309</v>
      </c>
      <c r="B15" s="5">
        <v>4</v>
      </c>
      <c r="C15" s="6">
        <f>_1_Financeiro[[#This Row],[Values]]/100</f>
        <v>0.04</v>
      </c>
    </row>
    <row r="16" spans="1:13" x14ac:dyDescent="0.25">
      <c r="A16" s="4" t="s">
        <v>293</v>
      </c>
      <c r="B16" s="5">
        <v>1705751899</v>
      </c>
      <c r="C16" s="7">
        <f>_1_Financeiro[[#This Row],[Values]]/100</f>
        <v>17057518.989999998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55</v>
      </c>
      <c r="C2" t="s">
        <v>55</v>
      </c>
      <c r="D2" t="s">
        <v>37</v>
      </c>
    </row>
    <row r="3" spans="1:4" x14ac:dyDescent="0.25">
      <c r="A3" t="s">
        <v>15</v>
      </c>
      <c r="B3" t="s">
        <v>55</v>
      </c>
      <c r="C3" t="s">
        <v>55</v>
      </c>
      <c r="D3" t="s">
        <v>37</v>
      </c>
    </row>
    <row r="4" spans="1:4" x14ac:dyDescent="0.25">
      <c r="A4" t="s">
        <v>54</v>
      </c>
      <c r="B4" t="s">
        <v>55</v>
      </c>
      <c r="C4" t="s">
        <v>55</v>
      </c>
      <c r="D4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3"/>
  <sheetViews>
    <sheetView workbookViewId="0">
      <selection activeCell="A3" sqref="A3"/>
    </sheetView>
  </sheetViews>
  <sheetFormatPr defaultRowHeight="15" x14ac:dyDescent="0.25"/>
  <cols>
    <col min="1" max="2" width="15.285156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58</v>
      </c>
    </row>
    <row r="2" spans="1:5" x14ac:dyDescent="0.25">
      <c r="A2" t="s">
        <v>93</v>
      </c>
      <c r="B2" t="s">
        <v>95</v>
      </c>
      <c r="C2" t="s">
        <v>72</v>
      </c>
      <c r="D2" t="s">
        <v>16</v>
      </c>
      <c r="E2" t="s">
        <v>278</v>
      </c>
    </row>
    <row r="3" spans="1:5" x14ac:dyDescent="0.25">
      <c r="A3" t="s">
        <v>91</v>
      </c>
      <c r="B3" t="s">
        <v>104</v>
      </c>
      <c r="C3" t="s">
        <v>72</v>
      </c>
      <c r="D3" t="s">
        <v>16</v>
      </c>
      <c r="E3" t="s">
        <v>225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8"/>
  <sheetViews>
    <sheetView workbookViewId="0">
      <selection activeCell="C2" sqref="C2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  <row r="2" spans="1:3" x14ac:dyDescent="0.25">
      <c r="A2" t="s">
        <v>93</v>
      </c>
      <c r="B2" t="s">
        <v>22</v>
      </c>
      <c r="C2" t="s">
        <v>16</v>
      </c>
    </row>
    <row r="3" spans="1:3" x14ac:dyDescent="0.25">
      <c r="A3" t="s">
        <v>95</v>
      </c>
      <c r="B3" t="s">
        <v>22</v>
      </c>
      <c r="C3" t="s">
        <v>16</v>
      </c>
    </row>
    <row r="4" spans="1:3" x14ac:dyDescent="0.25">
      <c r="A4" t="s">
        <v>98</v>
      </c>
      <c r="B4" t="s">
        <v>22</v>
      </c>
      <c r="C4" t="s">
        <v>16</v>
      </c>
    </row>
    <row r="5" spans="1:3" x14ac:dyDescent="0.25">
      <c r="A5" t="s">
        <v>103</v>
      </c>
      <c r="B5" t="s">
        <v>22</v>
      </c>
      <c r="C5" t="s">
        <v>16</v>
      </c>
    </row>
    <row r="6" spans="1:3" x14ac:dyDescent="0.25">
      <c r="A6" t="s">
        <v>104</v>
      </c>
      <c r="B6" t="s">
        <v>22</v>
      </c>
      <c r="C6" t="s">
        <v>16</v>
      </c>
    </row>
    <row r="7" spans="1:3" x14ac:dyDescent="0.25">
      <c r="A7" t="s">
        <v>234</v>
      </c>
      <c r="B7" t="s">
        <v>22</v>
      </c>
      <c r="C7" t="s">
        <v>16</v>
      </c>
    </row>
    <row r="8" spans="1:3" x14ac:dyDescent="0.25">
      <c r="A8" t="s">
        <v>236</v>
      </c>
      <c r="B8" t="s">
        <v>22</v>
      </c>
      <c r="C8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73"/>
  <sheetViews>
    <sheetView zoomScaleNormal="100" workbookViewId="0"/>
  </sheetViews>
  <sheetFormatPr defaultRowHeight="15" x14ac:dyDescent="0.25"/>
  <cols>
    <col min="1" max="1" width="15.285156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93</v>
      </c>
      <c r="B2" t="s">
        <v>20</v>
      </c>
      <c r="C2" t="s">
        <v>35</v>
      </c>
      <c r="D2" t="s">
        <v>16</v>
      </c>
      <c r="E2" t="s">
        <v>34</v>
      </c>
      <c r="F2" t="s">
        <v>34</v>
      </c>
      <c r="G2" t="s">
        <v>35</v>
      </c>
      <c r="H2" t="s">
        <v>34</v>
      </c>
      <c r="I2" t="s">
        <v>34</v>
      </c>
    </row>
    <row r="3" spans="1:9" x14ac:dyDescent="0.25">
      <c r="A3" t="s">
        <v>93</v>
      </c>
      <c r="B3" t="s">
        <v>22</v>
      </c>
      <c r="C3" t="s">
        <v>34</v>
      </c>
      <c r="D3" t="s">
        <v>16</v>
      </c>
      <c r="E3" t="s">
        <v>34</v>
      </c>
      <c r="F3" t="s">
        <v>35</v>
      </c>
      <c r="G3" t="s">
        <v>35</v>
      </c>
      <c r="H3" t="s">
        <v>34</v>
      </c>
      <c r="I3" t="s">
        <v>34</v>
      </c>
    </row>
    <row r="4" spans="1:9" x14ac:dyDescent="0.25">
      <c r="A4" t="s">
        <v>93</v>
      </c>
      <c r="B4" t="s">
        <v>36</v>
      </c>
      <c r="C4" t="s">
        <v>34</v>
      </c>
      <c r="D4" t="s">
        <v>282</v>
      </c>
      <c r="E4" t="s">
        <v>34</v>
      </c>
      <c r="F4" t="s">
        <v>34</v>
      </c>
      <c r="G4" t="s">
        <v>34</v>
      </c>
      <c r="H4" t="s">
        <v>34</v>
      </c>
      <c r="I4" t="s">
        <v>56</v>
      </c>
    </row>
    <row r="5" spans="1:9" x14ac:dyDescent="0.25">
      <c r="A5" t="s">
        <v>93</v>
      </c>
      <c r="B5" t="s">
        <v>72</v>
      </c>
      <c r="C5" t="s">
        <v>226</v>
      </c>
      <c r="D5" t="s">
        <v>73</v>
      </c>
      <c r="E5" t="s">
        <v>40</v>
      </c>
      <c r="F5" t="s">
        <v>34</v>
      </c>
      <c r="G5" t="s">
        <v>227</v>
      </c>
      <c r="H5" t="s">
        <v>38</v>
      </c>
      <c r="I5" t="s">
        <v>34</v>
      </c>
    </row>
    <row r="6" spans="1:9" x14ac:dyDescent="0.25">
      <c r="A6" t="s">
        <v>94</v>
      </c>
      <c r="B6" t="s">
        <v>20</v>
      </c>
      <c r="C6" t="s">
        <v>35</v>
      </c>
      <c r="D6" t="s">
        <v>16</v>
      </c>
      <c r="E6" t="s">
        <v>34</v>
      </c>
      <c r="F6" t="s">
        <v>34</v>
      </c>
      <c r="G6" t="s">
        <v>35</v>
      </c>
      <c r="H6" t="s">
        <v>34</v>
      </c>
      <c r="I6" t="s">
        <v>34</v>
      </c>
    </row>
    <row r="7" spans="1:9" x14ac:dyDescent="0.25">
      <c r="A7" t="s">
        <v>94</v>
      </c>
      <c r="B7" t="s">
        <v>22</v>
      </c>
      <c r="C7" t="s">
        <v>35</v>
      </c>
      <c r="D7" t="s">
        <v>16</v>
      </c>
      <c r="E7" t="s">
        <v>34</v>
      </c>
      <c r="F7" t="s">
        <v>34</v>
      </c>
      <c r="G7" t="s">
        <v>35</v>
      </c>
      <c r="H7" t="s">
        <v>34</v>
      </c>
      <c r="I7" t="s">
        <v>34</v>
      </c>
    </row>
    <row r="8" spans="1:9" x14ac:dyDescent="0.25">
      <c r="A8" t="s">
        <v>94</v>
      </c>
      <c r="B8" t="s">
        <v>36</v>
      </c>
      <c r="C8" t="s">
        <v>34</v>
      </c>
      <c r="D8" t="s">
        <v>282</v>
      </c>
      <c r="E8" t="s">
        <v>34</v>
      </c>
      <c r="F8" t="s">
        <v>34</v>
      </c>
      <c r="G8" t="s">
        <v>34</v>
      </c>
      <c r="H8" t="s">
        <v>34</v>
      </c>
      <c r="I8" t="s">
        <v>56</v>
      </c>
    </row>
    <row r="9" spans="1:9" x14ac:dyDescent="0.25">
      <c r="A9" t="s">
        <v>94</v>
      </c>
      <c r="B9" t="s">
        <v>72</v>
      </c>
      <c r="C9" t="s">
        <v>227</v>
      </c>
      <c r="D9" t="s">
        <v>73</v>
      </c>
      <c r="E9" t="s">
        <v>34</v>
      </c>
      <c r="F9" t="s">
        <v>34</v>
      </c>
      <c r="G9" t="s">
        <v>227</v>
      </c>
      <c r="H9" t="s">
        <v>38</v>
      </c>
      <c r="I9" t="s">
        <v>34</v>
      </c>
    </row>
    <row r="10" spans="1:9" x14ac:dyDescent="0.25">
      <c r="A10" t="s">
        <v>95</v>
      </c>
      <c r="B10" t="s">
        <v>20</v>
      </c>
      <c r="C10" t="s">
        <v>38</v>
      </c>
      <c r="D10" t="s">
        <v>21</v>
      </c>
      <c r="E10" t="s">
        <v>34</v>
      </c>
      <c r="F10" t="s">
        <v>34</v>
      </c>
      <c r="G10" t="s">
        <v>38</v>
      </c>
      <c r="H10" t="s">
        <v>34</v>
      </c>
      <c r="I10" t="s">
        <v>34</v>
      </c>
    </row>
    <row r="11" spans="1:9" x14ac:dyDescent="0.25">
      <c r="A11" t="s">
        <v>95</v>
      </c>
      <c r="B11" t="s">
        <v>22</v>
      </c>
      <c r="C11" t="s">
        <v>35</v>
      </c>
      <c r="D11" t="s">
        <v>21</v>
      </c>
      <c r="E11" t="s">
        <v>34</v>
      </c>
      <c r="F11" t="s">
        <v>35</v>
      </c>
      <c r="G11" t="s">
        <v>38</v>
      </c>
      <c r="H11" t="s">
        <v>34</v>
      </c>
      <c r="I11" t="s">
        <v>34</v>
      </c>
    </row>
    <row r="12" spans="1:9" x14ac:dyDescent="0.25">
      <c r="A12" t="s">
        <v>95</v>
      </c>
      <c r="B12" t="s">
        <v>36</v>
      </c>
      <c r="C12" t="s">
        <v>34</v>
      </c>
      <c r="D12" t="s">
        <v>283</v>
      </c>
      <c r="E12" t="s">
        <v>34</v>
      </c>
      <c r="F12" t="s">
        <v>34</v>
      </c>
      <c r="G12" t="s">
        <v>34</v>
      </c>
      <c r="H12" t="s">
        <v>34</v>
      </c>
      <c r="I12" t="s">
        <v>59</v>
      </c>
    </row>
    <row r="13" spans="1:9" x14ac:dyDescent="0.25">
      <c r="A13" t="s">
        <v>95</v>
      </c>
      <c r="B13" t="s">
        <v>72</v>
      </c>
      <c r="C13" t="s">
        <v>226</v>
      </c>
      <c r="D13" t="s">
        <v>74</v>
      </c>
      <c r="E13" t="s">
        <v>35</v>
      </c>
      <c r="F13" t="s">
        <v>34</v>
      </c>
      <c r="G13" t="s">
        <v>76</v>
      </c>
      <c r="H13" t="s">
        <v>34</v>
      </c>
      <c r="I13" t="s">
        <v>34</v>
      </c>
    </row>
    <row r="14" spans="1:9" x14ac:dyDescent="0.25">
      <c r="A14" t="s">
        <v>229</v>
      </c>
      <c r="B14" t="s">
        <v>20</v>
      </c>
      <c r="C14" t="s">
        <v>35</v>
      </c>
      <c r="D14" t="s">
        <v>16</v>
      </c>
      <c r="E14" t="s">
        <v>34</v>
      </c>
      <c r="F14" t="s">
        <v>34</v>
      </c>
      <c r="G14" t="s">
        <v>35</v>
      </c>
      <c r="H14" t="s">
        <v>34</v>
      </c>
      <c r="I14" t="s">
        <v>34</v>
      </c>
    </row>
    <row r="15" spans="1:9" x14ac:dyDescent="0.25">
      <c r="A15" t="s">
        <v>229</v>
      </c>
      <c r="B15" t="s">
        <v>22</v>
      </c>
      <c r="C15" t="s">
        <v>35</v>
      </c>
      <c r="D15" t="s">
        <v>16</v>
      </c>
      <c r="E15" t="s">
        <v>34</v>
      </c>
      <c r="F15" t="s">
        <v>34</v>
      </c>
      <c r="G15" t="s">
        <v>35</v>
      </c>
      <c r="H15" t="s">
        <v>34</v>
      </c>
      <c r="I15" t="s">
        <v>34</v>
      </c>
    </row>
    <row r="16" spans="1:9" x14ac:dyDescent="0.25">
      <c r="A16" t="s">
        <v>229</v>
      </c>
      <c r="B16" t="s">
        <v>36</v>
      </c>
      <c r="C16" t="s">
        <v>34</v>
      </c>
      <c r="D16" t="s">
        <v>282</v>
      </c>
      <c r="E16" t="s">
        <v>34</v>
      </c>
      <c r="F16" t="s">
        <v>34</v>
      </c>
      <c r="G16" t="s">
        <v>34</v>
      </c>
      <c r="H16" t="s">
        <v>34</v>
      </c>
      <c r="I16" t="s">
        <v>56</v>
      </c>
    </row>
    <row r="17" spans="1:9" x14ac:dyDescent="0.25">
      <c r="A17" t="s">
        <v>229</v>
      </c>
      <c r="B17" t="s">
        <v>72</v>
      </c>
      <c r="C17" t="s">
        <v>76</v>
      </c>
      <c r="D17" t="s">
        <v>73</v>
      </c>
      <c r="E17" t="s">
        <v>34</v>
      </c>
      <c r="F17" t="s">
        <v>34</v>
      </c>
      <c r="G17" t="s">
        <v>76</v>
      </c>
      <c r="H17" t="s">
        <v>75</v>
      </c>
      <c r="I17" t="s">
        <v>34</v>
      </c>
    </row>
    <row r="18" spans="1:9" x14ac:dyDescent="0.25">
      <c r="A18" t="s">
        <v>96</v>
      </c>
      <c r="B18" t="s">
        <v>20</v>
      </c>
      <c r="C18" t="s">
        <v>35</v>
      </c>
      <c r="D18" t="s">
        <v>16</v>
      </c>
      <c r="E18" t="s">
        <v>34</v>
      </c>
      <c r="F18" t="s">
        <v>34</v>
      </c>
      <c r="G18" t="s">
        <v>35</v>
      </c>
      <c r="H18" t="s">
        <v>34</v>
      </c>
      <c r="I18" t="s">
        <v>34</v>
      </c>
    </row>
    <row r="19" spans="1:9" x14ac:dyDescent="0.25">
      <c r="A19" t="s">
        <v>96</v>
      </c>
      <c r="B19" t="s">
        <v>22</v>
      </c>
      <c r="C19" t="s">
        <v>35</v>
      </c>
      <c r="D19" t="s">
        <v>16</v>
      </c>
      <c r="E19" t="s">
        <v>34</v>
      </c>
      <c r="F19" t="s">
        <v>34</v>
      </c>
      <c r="G19" t="s">
        <v>35</v>
      </c>
      <c r="H19" t="s">
        <v>34</v>
      </c>
      <c r="I19" t="s">
        <v>34</v>
      </c>
    </row>
    <row r="20" spans="1:9" x14ac:dyDescent="0.25">
      <c r="A20" t="s">
        <v>96</v>
      </c>
      <c r="B20" t="s">
        <v>36</v>
      </c>
      <c r="C20" t="s">
        <v>34</v>
      </c>
      <c r="D20" t="s">
        <v>282</v>
      </c>
      <c r="E20" t="s">
        <v>34</v>
      </c>
      <c r="F20" t="s">
        <v>34</v>
      </c>
      <c r="G20" t="s">
        <v>34</v>
      </c>
      <c r="H20" t="s">
        <v>34</v>
      </c>
      <c r="I20" t="s">
        <v>56</v>
      </c>
    </row>
    <row r="21" spans="1:9" x14ac:dyDescent="0.25">
      <c r="A21" t="s">
        <v>96</v>
      </c>
      <c r="B21" t="s">
        <v>72</v>
      </c>
      <c r="C21" t="s">
        <v>75</v>
      </c>
      <c r="D21" t="s">
        <v>73</v>
      </c>
      <c r="E21" t="s">
        <v>34</v>
      </c>
      <c r="F21" t="s">
        <v>34</v>
      </c>
      <c r="G21" t="s">
        <v>75</v>
      </c>
      <c r="H21" t="s">
        <v>34</v>
      </c>
      <c r="I21" t="s">
        <v>34</v>
      </c>
    </row>
    <row r="22" spans="1:9" x14ac:dyDescent="0.25">
      <c r="A22" t="s">
        <v>97</v>
      </c>
      <c r="B22" t="s">
        <v>20</v>
      </c>
      <c r="C22" t="s">
        <v>35</v>
      </c>
      <c r="D22" t="s">
        <v>16</v>
      </c>
      <c r="E22" t="s">
        <v>34</v>
      </c>
      <c r="F22" t="s">
        <v>34</v>
      </c>
      <c r="G22" t="s">
        <v>35</v>
      </c>
      <c r="H22" t="s">
        <v>34</v>
      </c>
      <c r="I22" t="s">
        <v>34</v>
      </c>
    </row>
    <row r="23" spans="1:9" x14ac:dyDescent="0.25">
      <c r="A23" t="s">
        <v>97</v>
      </c>
      <c r="B23" t="s">
        <v>22</v>
      </c>
      <c r="C23" t="s">
        <v>35</v>
      </c>
      <c r="D23" t="s">
        <v>16</v>
      </c>
      <c r="E23" t="s">
        <v>34</v>
      </c>
      <c r="F23" t="s">
        <v>34</v>
      </c>
      <c r="G23" t="s">
        <v>35</v>
      </c>
      <c r="H23" t="s">
        <v>34</v>
      </c>
      <c r="I23" t="s">
        <v>34</v>
      </c>
    </row>
    <row r="24" spans="1:9" x14ac:dyDescent="0.25">
      <c r="A24" t="s">
        <v>97</v>
      </c>
      <c r="B24" t="s">
        <v>36</v>
      </c>
      <c r="C24" t="s">
        <v>34</v>
      </c>
      <c r="D24" t="s">
        <v>282</v>
      </c>
      <c r="E24" t="s">
        <v>34</v>
      </c>
      <c r="F24" t="s">
        <v>34</v>
      </c>
      <c r="G24" t="s">
        <v>34</v>
      </c>
      <c r="H24" t="s">
        <v>34</v>
      </c>
      <c r="I24" t="s">
        <v>56</v>
      </c>
    </row>
    <row r="25" spans="1:9" x14ac:dyDescent="0.25">
      <c r="A25" t="s">
        <v>97</v>
      </c>
      <c r="B25" t="s">
        <v>72</v>
      </c>
      <c r="C25" t="s">
        <v>76</v>
      </c>
      <c r="D25" t="s">
        <v>73</v>
      </c>
      <c r="E25" t="s">
        <v>34</v>
      </c>
      <c r="F25" t="s">
        <v>34</v>
      </c>
      <c r="G25" t="s">
        <v>76</v>
      </c>
      <c r="H25" t="s">
        <v>75</v>
      </c>
      <c r="I25" t="s">
        <v>34</v>
      </c>
    </row>
    <row r="26" spans="1:9" x14ac:dyDescent="0.25">
      <c r="A26" t="s">
        <v>98</v>
      </c>
      <c r="B26" t="s">
        <v>20</v>
      </c>
      <c r="C26" t="s">
        <v>38</v>
      </c>
      <c r="D26" t="s">
        <v>21</v>
      </c>
      <c r="E26" t="s">
        <v>34</v>
      </c>
      <c r="F26" t="s">
        <v>34</v>
      </c>
      <c r="G26" t="s">
        <v>38</v>
      </c>
      <c r="H26" t="s">
        <v>34</v>
      </c>
      <c r="I26" t="s">
        <v>34</v>
      </c>
    </row>
    <row r="27" spans="1:9" x14ac:dyDescent="0.25">
      <c r="A27" t="s">
        <v>98</v>
      </c>
      <c r="B27" t="s">
        <v>22</v>
      </c>
      <c r="C27" t="s">
        <v>35</v>
      </c>
      <c r="D27" t="s">
        <v>21</v>
      </c>
      <c r="E27" t="s">
        <v>34</v>
      </c>
      <c r="F27" t="s">
        <v>35</v>
      </c>
      <c r="G27" t="s">
        <v>38</v>
      </c>
      <c r="H27" t="s">
        <v>34</v>
      </c>
      <c r="I27" t="s">
        <v>34</v>
      </c>
    </row>
    <row r="28" spans="1:9" x14ac:dyDescent="0.25">
      <c r="A28" t="s">
        <v>98</v>
      </c>
      <c r="B28" t="s">
        <v>36</v>
      </c>
      <c r="C28" t="s">
        <v>34</v>
      </c>
      <c r="D28" t="s">
        <v>283</v>
      </c>
      <c r="E28" t="s">
        <v>34</v>
      </c>
      <c r="F28" t="s">
        <v>34</v>
      </c>
      <c r="G28" t="s">
        <v>34</v>
      </c>
      <c r="H28" t="s">
        <v>34</v>
      </c>
      <c r="I28" t="s">
        <v>59</v>
      </c>
    </row>
    <row r="29" spans="1:9" x14ac:dyDescent="0.25">
      <c r="A29" t="s">
        <v>98</v>
      </c>
      <c r="B29" t="s">
        <v>72</v>
      </c>
      <c r="C29" t="s">
        <v>76</v>
      </c>
      <c r="D29" t="s">
        <v>74</v>
      </c>
      <c r="E29" t="s">
        <v>34</v>
      </c>
      <c r="F29" t="s">
        <v>34</v>
      </c>
      <c r="G29" t="s">
        <v>76</v>
      </c>
      <c r="H29" t="s">
        <v>34</v>
      </c>
      <c r="I29" t="s">
        <v>34</v>
      </c>
    </row>
    <row r="30" spans="1:9" x14ac:dyDescent="0.25">
      <c r="A30" t="s">
        <v>99</v>
      </c>
      <c r="B30" t="s">
        <v>20</v>
      </c>
      <c r="C30" t="s">
        <v>38</v>
      </c>
      <c r="D30" t="s">
        <v>21</v>
      </c>
      <c r="E30" t="s">
        <v>34</v>
      </c>
      <c r="F30" t="s">
        <v>34</v>
      </c>
      <c r="G30" t="s">
        <v>38</v>
      </c>
      <c r="H30" t="s">
        <v>34</v>
      </c>
      <c r="I30" t="s">
        <v>34</v>
      </c>
    </row>
    <row r="31" spans="1:9" x14ac:dyDescent="0.25">
      <c r="A31" t="s">
        <v>99</v>
      </c>
      <c r="B31" t="s">
        <v>22</v>
      </c>
      <c r="C31" t="s">
        <v>38</v>
      </c>
      <c r="D31" t="s">
        <v>21</v>
      </c>
      <c r="E31" t="s">
        <v>34</v>
      </c>
      <c r="F31" t="s">
        <v>34</v>
      </c>
      <c r="G31" t="s">
        <v>38</v>
      </c>
      <c r="H31" t="s">
        <v>34</v>
      </c>
      <c r="I31" t="s">
        <v>34</v>
      </c>
    </row>
    <row r="32" spans="1:9" x14ac:dyDescent="0.25">
      <c r="A32" t="s">
        <v>99</v>
      </c>
      <c r="B32" t="s">
        <v>36</v>
      </c>
      <c r="C32" t="s">
        <v>35</v>
      </c>
      <c r="D32" t="s">
        <v>283</v>
      </c>
      <c r="E32" t="s">
        <v>34</v>
      </c>
      <c r="F32" t="s">
        <v>34</v>
      </c>
      <c r="G32" t="s">
        <v>35</v>
      </c>
      <c r="H32" t="s">
        <v>228</v>
      </c>
      <c r="I32" t="s">
        <v>34</v>
      </c>
    </row>
    <row r="33" spans="1:9" x14ac:dyDescent="0.25">
      <c r="A33" t="s">
        <v>99</v>
      </c>
      <c r="B33" t="s">
        <v>72</v>
      </c>
      <c r="C33" t="s">
        <v>230</v>
      </c>
      <c r="D33" t="s">
        <v>74</v>
      </c>
      <c r="E33" t="s">
        <v>34</v>
      </c>
      <c r="F33" t="s">
        <v>34</v>
      </c>
      <c r="G33" t="s">
        <v>230</v>
      </c>
      <c r="H33" t="s">
        <v>39</v>
      </c>
      <c r="I33" t="s">
        <v>34</v>
      </c>
    </row>
    <row r="34" spans="1:9" x14ac:dyDescent="0.25">
      <c r="A34" t="s">
        <v>100</v>
      </c>
      <c r="B34" t="s">
        <v>20</v>
      </c>
      <c r="C34" t="s">
        <v>35</v>
      </c>
      <c r="D34" t="s">
        <v>16</v>
      </c>
      <c r="E34" t="s">
        <v>34</v>
      </c>
      <c r="F34" t="s">
        <v>34</v>
      </c>
      <c r="G34" t="s">
        <v>35</v>
      </c>
      <c r="H34" t="s">
        <v>34</v>
      </c>
      <c r="I34" t="s">
        <v>34</v>
      </c>
    </row>
    <row r="35" spans="1:9" x14ac:dyDescent="0.25">
      <c r="A35" t="s">
        <v>100</v>
      </c>
      <c r="B35" t="s">
        <v>22</v>
      </c>
      <c r="C35" t="s">
        <v>35</v>
      </c>
      <c r="D35" t="s">
        <v>16</v>
      </c>
      <c r="E35" t="s">
        <v>34</v>
      </c>
      <c r="F35" t="s">
        <v>34</v>
      </c>
      <c r="G35" t="s">
        <v>35</v>
      </c>
      <c r="H35" t="s">
        <v>34</v>
      </c>
      <c r="I35" t="s">
        <v>34</v>
      </c>
    </row>
    <row r="36" spans="1:9" x14ac:dyDescent="0.25">
      <c r="A36" t="s">
        <v>100</v>
      </c>
      <c r="B36" t="s">
        <v>36</v>
      </c>
      <c r="C36" t="s">
        <v>34</v>
      </c>
      <c r="D36" t="s">
        <v>282</v>
      </c>
      <c r="E36" t="s">
        <v>34</v>
      </c>
      <c r="F36" t="s">
        <v>34</v>
      </c>
      <c r="G36" t="s">
        <v>34</v>
      </c>
      <c r="H36" t="s">
        <v>34</v>
      </c>
      <c r="I36" t="s">
        <v>56</v>
      </c>
    </row>
    <row r="37" spans="1:9" x14ac:dyDescent="0.25">
      <c r="A37" t="s">
        <v>100</v>
      </c>
      <c r="B37" t="s">
        <v>72</v>
      </c>
      <c r="C37" t="s">
        <v>226</v>
      </c>
      <c r="D37" t="s">
        <v>73</v>
      </c>
      <c r="E37" t="s">
        <v>34</v>
      </c>
      <c r="F37" t="s">
        <v>34</v>
      </c>
      <c r="G37" t="s">
        <v>226</v>
      </c>
      <c r="H37" t="s">
        <v>39</v>
      </c>
      <c r="I37" t="s">
        <v>34</v>
      </c>
    </row>
    <row r="38" spans="1:9" x14ac:dyDescent="0.25">
      <c r="A38" t="s">
        <v>101</v>
      </c>
      <c r="B38" t="s">
        <v>20</v>
      </c>
      <c r="C38" t="s">
        <v>35</v>
      </c>
      <c r="D38" t="s">
        <v>16</v>
      </c>
      <c r="E38" t="s">
        <v>34</v>
      </c>
      <c r="F38" t="s">
        <v>34</v>
      </c>
      <c r="G38" t="s">
        <v>35</v>
      </c>
      <c r="H38" t="s">
        <v>34</v>
      </c>
      <c r="I38" t="s">
        <v>34</v>
      </c>
    </row>
    <row r="39" spans="1:9" x14ac:dyDescent="0.25">
      <c r="A39" t="s">
        <v>101</v>
      </c>
      <c r="B39" t="s">
        <v>22</v>
      </c>
      <c r="C39" t="s">
        <v>35</v>
      </c>
      <c r="D39" t="s">
        <v>16</v>
      </c>
      <c r="E39" t="s">
        <v>34</v>
      </c>
      <c r="F39" t="s">
        <v>34</v>
      </c>
      <c r="G39" t="s">
        <v>35</v>
      </c>
      <c r="H39" t="s">
        <v>34</v>
      </c>
      <c r="I39" t="s">
        <v>34</v>
      </c>
    </row>
    <row r="40" spans="1:9" x14ac:dyDescent="0.25">
      <c r="A40" t="s">
        <v>101</v>
      </c>
      <c r="B40" t="s">
        <v>36</v>
      </c>
      <c r="C40" t="s">
        <v>34</v>
      </c>
      <c r="D40" t="s">
        <v>282</v>
      </c>
      <c r="E40" t="s">
        <v>34</v>
      </c>
      <c r="F40" t="s">
        <v>34</v>
      </c>
      <c r="G40" t="s">
        <v>34</v>
      </c>
      <c r="H40" t="s">
        <v>34</v>
      </c>
      <c r="I40" t="s">
        <v>56</v>
      </c>
    </row>
    <row r="41" spans="1:9" x14ac:dyDescent="0.25">
      <c r="A41" t="s">
        <v>101</v>
      </c>
      <c r="B41" t="s">
        <v>72</v>
      </c>
      <c r="C41" t="s">
        <v>227</v>
      </c>
      <c r="D41" t="s">
        <v>73</v>
      </c>
      <c r="E41" t="s">
        <v>34</v>
      </c>
      <c r="F41" t="s">
        <v>34</v>
      </c>
      <c r="G41" t="s">
        <v>227</v>
      </c>
      <c r="H41" t="s">
        <v>38</v>
      </c>
      <c r="I41" t="s">
        <v>34</v>
      </c>
    </row>
    <row r="42" spans="1:9" x14ac:dyDescent="0.25">
      <c r="A42" t="s">
        <v>92</v>
      </c>
      <c r="B42" t="s">
        <v>20</v>
      </c>
      <c r="C42" t="s">
        <v>35</v>
      </c>
      <c r="D42" t="s">
        <v>16</v>
      </c>
      <c r="E42" t="s">
        <v>34</v>
      </c>
      <c r="F42" t="s">
        <v>34</v>
      </c>
      <c r="G42" t="s">
        <v>35</v>
      </c>
      <c r="H42" t="s">
        <v>34</v>
      </c>
      <c r="I42" t="s">
        <v>34</v>
      </c>
    </row>
    <row r="43" spans="1:9" x14ac:dyDescent="0.25">
      <c r="A43" t="s">
        <v>92</v>
      </c>
      <c r="B43" t="s">
        <v>22</v>
      </c>
      <c r="C43" t="s">
        <v>35</v>
      </c>
      <c r="D43" t="s">
        <v>16</v>
      </c>
      <c r="E43" t="s">
        <v>34</v>
      </c>
      <c r="F43" t="s">
        <v>34</v>
      </c>
      <c r="G43" t="s">
        <v>35</v>
      </c>
      <c r="H43" t="s">
        <v>34</v>
      </c>
      <c r="I43" t="s">
        <v>34</v>
      </c>
    </row>
    <row r="44" spans="1:9" x14ac:dyDescent="0.25">
      <c r="A44" t="s">
        <v>92</v>
      </c>
      <c r="B44" t="s">
        <v>36</v>
      </c>
      <c r="C44" t="s">
        <v>35</v>
      </c>
      <c r="D44" t="s">
        <v>282</v>
      </c>
      <c r="E44" t="s">
        <v>34</v>
      </c>
      <c r="F44" t="s">
        <v>34</v>
      </c>
      <c r="G44" t="s">
        <v>35</v>
      </c>
      <c r="H44" t="s">
        <v>79</v>
      </c>
      <c r="I44" t="s">
        <v>34</v>
      </c>
    </row>
    <row r="45" spans="1:9" x14ac:dyDescent="0.25">
      <c r="A45" t="s">
        <v>92</v>
      </c>
      <c r="B45" t="s">
        <v>72</v>
      </c>
      <c r="C45" t="s">
        <v>227</v>
      </c>
      <c r="D45" t="s">
        <v>73</v>
      </c>
      <c r="E45" t="s">
        <v>34</v>
      </c>
      <c r="F45" t="s">
        <v>34</v>
      </c>
      <c r="G45" t="s">
        <v>227</v>
      </c>
      <c r="H45" t="s">
        <v>38</v>
      </c>
      <c r="I45" t="s">
        <v>34</v>
      </c>
    </row>
    <row r="46" spans="1:9" x14ac:dyDescent="0.25">
      <c r="A46" t="s">
        <v>102</v>
      </c>
      <c r="B46" t="s">
        <v>20</v>
      </c>
      <c r="C46" t="s">
        <v>35</v>
      </c>
      <c r="D46" t="s">
        <v>16</v>
      </c>
      <c r="E46" t="s">
        <v>34</v>
      </c>
      <c r="F46" t="s">
        <v>34</v>
      </c>
      <c r="G46" t="s">
        <v>35</v>
      </c>
      <c r="H46" t="s">
        <v>34</v>
      </c>
      <c r="I46" t="s">
        <v>34</v>
      </c>
    </row>
    <row r="47" spans="1:9" x14ac:dyDescent="0.25">
      <c r="A47" t="s">
        <v>102</v>
      </c>
      <c r="B47" t="s">
        <v>22</v>
      </c>
      <c r="C47" t="s">
        <v>35</v>
      </c>
      <c r="D47" t="s">
        <v>16</v>
      </c>
      <c r="E47" t="s">
        <v>34</v>
      </c>
      <c r="F47" t="s">
        <v>34</v>
      </c>
      <c r="G47" t="s">
        <v>35</v>
      </c>
      <c r="H47" t="s">
        <v>34</v>
      </c>
      <c r="I47" t="s">
        <v>34</v>
      </c>
    </row>
    <row r="48" spans="1:9" x14ac:dyDescent="0.25">
      <c r="A48" t="s">
        <v>102</v>
      </c>
      <c r="B48" t="s">
        <v>36</v>
      </c>
      <c r="C48" t="s">
        <v>35</v>
      </c>
      <c r="D48" t="s">
        <v>282</v>
      </c>
      <c r="E48" t="s">
        <v>34</v>
      </c>
      <c r="F48" t="s">
        <v>34</v>
      </c>
      <c r="G48" t="s">
        <v>35</v>
      </c>
      <c r="H48" t="s">
        <v>79</v>
      </c>
      <c r="I48" t="s">
        <v>34</v>
      </c>
    </row>
    <row r="49" spans="1:9" x14ac:dyDescent="0.25">
      <c r="A49" t="s">
        <v>102</v>
      </c>
      <c r="B49" t="s">
        <v>72</v>
      </c>
      <c r="C49" t="s">
        <v>231</v>
      </c>
      <c r="D49" t="s">
        <v>73</v>
      </c>
      <c r="E49" t="s">
        <v>34</v>
      </c>
      <c r="F49" t="s">
        <v>34</v>
      </c>
      <c r="G49" t="s">
        <v>231</v>
      </c>
      <c r="H49" t="s">
        <v>262</v>
      </c>
      <c r="I49" t="s">
        <v>34</v>
      </c>
    </row>
    <row r="50" spans="1:9" x14ac:dyDescent="0.25">
      <c r="A50" t="s">
        <v>91</v>
      </c>
      <c r="B50" t="s">
        <v>20</v>
      </c>
      <c r="C50" t="s">
        <v>38</v>
      </c>
      <c r="D50" t="s">
        <v>21</v>
      </c>
      <c r="E50" t="s">
        <v>34</v>
      </c>
      <c r="F50" t="s">
        <v>34</v>
      </c>
      <c r="G50" t="s">
        <v>38</v>
      </c>
      <c r="H50" t="s">
        <v>34</v>
      </c>
      <c r="I50" t="s">
        <v>34</v>
      </c>
    </row>
    <row r="51" spans="1:9" x14ac:dyDescent="0.25">
      <c r="A51" t="s">
        <v>91</v>
      </c>
      <c r="B51" t="s">
        <v>22</v>
      </c>
      <c r="C51" t="s">
        <v>38</v>
      </c>
      <c r="D51" t="s">
        <v>21</v>
      </c>
      <c r="E51" t="s">
        <v>34</v>
      </c>
      <c r="F51" t="s">
        <v>34</v>
      </c>
      <c r="G51" t="s">
        <v>38</v>
      </c>
      <c r="H51" t="s">
        <v>34</v>
      </c>
      <c r="I51" t="s">
        <v>34</v>
      </c>
    </row>
    <row r="52" spans="1:9" x14ac:dyDescent="0.25">
      <c r="A52" t="s">
        <v>91</v>
      </c>
      <c r="B52" t="s">
        <v>36</v>
      </c>
      <c r="C52" t="s">
        <v>35</v>
      </c>
      <c r="D52" t="s">
        <v>283</v>
      </c>
      <c r="E52" t="s">
        <v>34</v>
      </c>
      <c r="F52" t="s">
        <v>34</v>
      </c>
      <c r="G52" t="s">
        <v>35</v>
      </c>
      <c r="H52" t="s">
        <v>228</v>
      </c>
      <c r="I52" t="s">
        <v>34</v>
      </c>
    </row>
    <row r="53" spans="1:9" x14ac:dyDescent="0.25">
      <c r="A53" t="s">
        <v>91</v>
      </c>
      <c r="B53" t="s">
        <v>72</v>
      </c>
      <c r="C53" t="s">
        <v>232</v>
      </c>
      <c r="D53" t="s">
        <v>74</v>
      </c>
      <c r="E53" t="s">
        <v>40</v>
      </c>
      <c r="F53" t="s">
        <v>34</v>
      </c>
      <c r="G53" t="s">
        <v>233</v>
      </c>
      <c r="H53" t="s">
        <v>75</v>
      </c>
      <c r="I53" t="s">
        <v>34</v>
      </c>
    </row>
    <row r="54" spans="1:9" x14ac:dyDescent="0.25">
      <c r="A54" t="s">
        <v>103</v>
      </c>
      <c r="B54" t="s">
        <v>20</v>
      </c>
      <c r="C54" t="s">
        <v>35</v>
      </c>
      <c r="D54" t="s">
        <v>16</v>
      </c>
      <c r="E54" t="s">
        <v>34</v>
      </c>
      <c r="F54" t="s">
        <v>34</v>
      </c>
      <c r="G54" t="s">
        <v>35</v>
      </c>
      <c r="H54" t="s">
        <v>34</v>
      </c>
      <c r="I54" t="s">
        <v>34</v>
      </c>
    </row>
    <row r="55" spans="1:9" x14ac:dyDescent="0.25">
      <c r="A55" t="s">
        <v>103</v>
      </c>
      <c r="B55" t="s">
        <v>22</v>
      </c>
      <c r="C55" t="s">
        <v>34</v>
      </c>
      <c r="D55" t="s">
        <v>16</v>
      </c>
      <c r="E55" t="s">
        <v>34</v>
      </c>
      <c r="F55" t="s">
        <v>35</v>
      </c>
      <c r="G55" t="s">
        <v>35</v>
      </c>
      <c r="H55" t="s">
        <v>34</v>
      </c>
      <c r="I55" t="s">
        <v>34</v>
      </c>
    </row>
    <row r="56" spans="1:9" x14ac:dyDescent="0.25">
      <c r="A56" t="s">
        <v>103</v>
      </c>
      <c r="B56" t="s">
        <v>36</v>
      </c>
      <c r="C56" t="s">
        <v>34</v>
      </c>
      <c r="D56" t="s">
        <v>282</v>
      </c>
      <c r="E56" t="s">
        <v>34</v>
      </c>
      <c r="F56" t="s">
        <v>34</v>
      </c>
      <c r="G56" t="s">
        <v>34</v>
      </c>
      <c r="H56" t="s">
        <v>34</v>
      </c>
      <c r="I56" t="s">
        <v>56</v>
      </c>
    </row>
    <row r="57" spans="1:9" x14ac:dyDescent="0.25">
      <c r="A57" t="s">
        <v>103</v>
      </c>
      <c r="B57" t="s">
        <v>72</v>
      </c>
      <c r="C57" t="s">
        <v>75</v>
      </c>
      <c r="D57" t="s">
        <v>73</v>
      </c>
      <c r="E57" t="s">
        <v>34</v>
      </c>
      <c r="F57" t="s">
        <v>34</v>
      </c>
      <c r="G57" t="s">
        <v>75</v>
      </c>
      <c r="H57" t="s">
        <v>34</v>
      </c>
      <c r="I57" t="s">
        <v>34</v>
      </c>
    </row>
    <row r="58" spans="1:9" x14ac:dyDescent="0.25">
      <c r="A58" t="s">
        <v>104</v>
      </c>
      <c r="B58" t="s">
        <v>20</v>
      </c>
      <c r="C58" t="s">
        <v>35</v>
      </c>
      <c r="D58" t="s">
        <v>16</v>
      </c>
      <c r="E58" t="s">
        <v>34</v>
      </c>
      <c r="F58" t="s">
        <v>34</v>
      </c>
      <c r="G58" t="s">
        <v>35</v>
      </c>
      <c r="H58" t="s">
        <v>34</v>
      </c>
      <c r="I58" t="s">
        <v>34</v>
      </c>
    </row>
    <row r="59" spans="1:9" x14ac:dyDescent="0.25">
      <c r="A59" t="s">
        <v>104</v>
      </c>
      <c r="B59" t="s">
        <v>22</v>
      </c>
      <c r="C59" t="s">
        <v>34</v>
      </c>
      <c r="D59" t="s">
        <v>16</v>
      </c>
      <c r="E59" t="s">
        <v>34</v>
      </c>
      <c r="F59" t="s">
        <v>35</v>
      </c>
      <c r="G59" t="s">
        <v>35</v>
      </c>
      <c r="H59" t="s">
        <v>34</v>
      </c>
      <c r="I59" t="s">
        <v>34</v>
      </c>
    </row>
    <row r="60" spans="1:9" x14ac:dyDescent="0.25">
      <c r="A60" t="s">
        <v>104</v>
      </c>
      <c r="B60" t="s">
        <v>36</v>
      </c>
      <c r="C60" t="s">
        <v>34</v>
      </c>
      <c r="D60" t="s">
        <v>282</v>
      </c>
      <c r="E60" t="s">
        <v>34</v>
      </c>
      <c r="F60" t="s">
        <v>34</v>
      </c>
      <c r="G60" t="s">
        <v>34</v>
      </c>
      <c r="H60" t="s">
        <v>34</v>
      </c>
      <c r="I60" t="s">
        <v>56</v>
      </c>
    </row>
    <row r="61" spans="1:9" x14ac:dyDescent="0.25">
      <c r="A61" t="s">
        <v>104</v>
      </c>
      <c r="B61" t="s">
        <v>72</v>
      </c>
      <c r="C61" t="s">
        <v>39</v>
      </c>
      <c r="D61" t="s">
        <v>73</v>
      </c>
      <c r="E61" t="s">
        <v>35</v>
      </c>
      <c r="F61" t="s">
        <v>34</v>
      </c>
      <c r="G61" t="s">
        <v>75</v>
      </c>
      <c r="H61" t="s">
        <v>34</v>
      </c>
      <c r="I61" t="s">
        <v>34</v>
      </c>
    </row>
    <row r="62" spans="1:9" x14ac:dyDescent="0.25">
      <c r="A62" t="s">
        <v>234</v>
      </c>
      <c r="B62" t="s">
        <v>20</v>
      </c>
      <c r="C62" t="s">
        <v>38</v>
      </c>
      <c r="D62" t="s">
        <v>21</v>
      </c>
      <c r="E62" t="s">
        <v>34</v>
      </c>
      <c r="F62" t="s">
        <v>34</v>
      </c>
      <c r="G62" t="s">
        <v>38</v>
      </c>
      <c r="H62" t="s">
        <v>34</v>
      </c>
      <c r="I62" t="s">
        <v>34</v>
      </c>
    </row>
    <row r="63" spans="1:9" x14ac:dyDescent="0.25">
      <c r="A63" t="s">
        <v>234</v>
      </c>
      <c r="B63" t="s">
        <v>22</v>
      </c>
      <c r="C63" t="s">
        <v>35</v>
      </c>
      <c r="D63" t="s">
        <v>21</v>
      </c>
      <c r="E63" t="s">
        <v>34</v>
      </c>
      <c r="F63" t="s">
        <v>35</v>
      </c>
      <c r="G63" t="s">
        <v>38</v>
      </c>
      <c r="H63" t="s">
        <v>34</v>
      </c>
      <c r="I63" t="s">
        <v>34</v>
      </c>
    </row>
    <row r="64" spans="1:9" x14ac:dyDescent="0.25">
      <c r="A64" t="s">
        <v>234</v>
      </c>
      <c r="B64" t="s">
        <v>36</v>
      </c>
      <c r="C64" t="s">
        <v>35</v>
      </c>
      <c r="D64" t="s">
        <v>283</v>
      </c>
      <c r="E64" t="s">
        <v>34</v>
      </c>
      <c r="F64" t="s">
        <v>34</v>
      </c>
      <c r="G64" t="s">
        <v>35</v>
      </c>
      <c r="H64" t="s">
        <v>228</v>
      </c>
      <c r="I64" t="s">
        <v>34</v>
      </c>
    </row>
    <row r="65" spans="1:9" x14ac:dyDescent="0.25">
      <c r="A65" t="s">
        <v>234</v>
      </c>
      <c r="B65" t="s">
        <v>72</v>
      </c>
      <c r="C65" t="s">
        <v>230</v>
      </c>
      <c r="D65" t="s">
        <v>74</v>
      </c>
      <c r="E65" t="s">
        <v>34</v>
      </c>
      <c r="F65" t="s">
        <v>34</v>
      </c>
      <c r="G65" t="s">
        <v>230</v>
      </c>
      <c r="H65" t="s">
        <v>39</v>
      </c>
      <c r="I65" t="s">
        <v>34</v>
      </c>
    </row>
    <row r="66" spans="1:9" x14ac:dyDescent="0.25">
      <c r="A66" t="s">
        <v>235</v>
      </c>
      <c r="B66" t="s">
        <v>20</v>
      </c>
      <c r="C66" t="s">
        <v>35</v>
      </c>
      <c r="D66" t="s">
        <v>16</v>
      </c>
      <c r="E66" t="s">
        <v>34</v>
      </c>
      <c r="F66" t="s">
        <v>34</v>
      </c>
      <c r="G66" t="s">
        <v>35</v>
      </c>
      <c r="H66" t="s">
        <v>34</v>
      </c>
      <c r="I66" t="s">
        <v>34</v>
      </c>
    </row>
    <row r="67" spans="1:9" x14ac:dyDescent="0.25">
      <c r="A67" t="s">
        <v>235</v>
      </c>
      <c r="B67" t="s">
        <v>22</v>
      </c>
      <c r="C67" t="s">
        <v>35</v>
      </c>
      <c r="D67" t="s">
        <v>16</v>
      </c>
      <c r="E67" t="s">
        <v>34</v>
      </c>
      <c r="F67" t="s">
        <v>34</v>
      </c>
      <c r="G67" t="s">
        <v>35</v>
      </c>
      <c r="H67" t="s">
        <v>34</v>
      </c>
      <c r="I67" t="s">
        <v>34</v>
      </c>
    </row>
    <row r="68" spans="1:9" x14ac:dyDescent="0.25">
      <c r="A68" t="s">
        <v>235</v>
      </c>
      <c r="B68" t="s">
        <v>36</v>
      </c>
      <c r="C68" t="s">
        <v>34</v>
      </c>
      <c r="D68" t="s">
        <v>282</v>
      </c>
      <c r="E68" t="s">
        <v>34</v>
      </c>
      <c r="F68" t="s">
        <v>34</v>
      </c>
      <c r="G68" t="s">
        <v>34</v>
      </c>
      <c r="H68" t="s">
        <v>34</v>
      </c>
      <c r="I68" t="s">
        <v>56</v>
      </c>
    </row>
    <row r="69" spans="1:9" x14ac:dyDescent="0.25">
      <c r="A69" t="s">
        <v>235</v>
      </c>
      <c r="B69" t="s">
        <v>72</v>
      </c>
      <c r="C69" t="s">
        <v>227</v>
      </c>
      <c r="D69" t="s">
        <v>73</v>
      </c>
      <c r="E69" t="s">
        <v>34</v>
      </c>
      <c r="F69" t="s">
        <v>34</v>
      </c>
      <c r="G69" t="s">
        <v>227</v>
      </c>
      <c r="H69" t="s">
        <v>38</v>
      </c>
      <c r="I69" t="s">
        <v>34</v>
      </c>
    </row>
    <row r="70" spans="1:9" x14ac:dyDescent="0.25">
      <c r="A70" t="s">
        <v>236</v>
      </c>
      <c r="B70" t="s">
        <v>20</v>
      </c>
      <c r="C70" t="s">
        <v>38</v>
      </c>
      <c r="D70" t="s">
        <v>21</v>
      </c>
      <c r="E70" t="s">
        <v>34</v>
      </c>
      <c r="F70" t="s">
        <v>34</v>
      </c>
      <c r="G70" t="s">
        <v>38</v>
      </c>
      <c r="H70" t="s">
        <v>34</v>
      </c>
      <c r="I70" t="s">
        <v>34</v>
      </c>
    </row>
    <row r="71" spans="1:9" x14ac:dyDescent="0.25">
      <c r="A71" t="s">
        <v>236</v>
      </c>
      <c r="B71" t="s">
        <v>22</v>
      </c>
      <c r="C71" t="s">
        <v>35</v>
      </c>
      <c r="D71" t="s">
        <v>21</v>
      </c>
      <c r="E71" t="s">
        <v>34</v>
      </c>
      <c r="F71" t="s">
        <v>35</v>
      </c>
      <c r="G71" t="s">
        <v>38</v>
      </c>
      <c r="H71" t="s">
        <v>34</v>
      </c>
      <c r="I71" t="s">
        <v>34</v>
      </c>
    </row>
    <row r="72" spans="1:9" x14ac:dyDescent="0.25">
      <c r="A72" t="s">
        <v>236</v>
      </c>
      <c r="B72" t="s">
        <v>36</v>
      </c>
      <c r="C72" t="s">
        <v>34</v>
      </c>
      <c r="D72" t="s">
        <v>283</v>
      </c>
      <c r="E72" t="s">
        <v>34</v>
      </c>
      <c r="F72" t="s">
        <v>34</v>
      </c>
      <c r="G72" t="s">
        <v>34</v>
      </c>
      <c r="H72" t="s">
        <v>34</v>
      </c>
      <c r="I72" t="s">
        <v>59</v>
      </c>
    </row>
    <row r="73" spans="1:9" x14ac:dyDescent="0.25">
      <c r="A73" t="s">
        <v>236</v>
      </c>
      <c r="B73" t="s">
        <v>72</v>
      </c>
      <c r="C73" t="s">
        <v>233</v>
      </c>
      <c r="D73" t="s">
        <v>74</v>
      </c>
      <c r="E73" t="s">
        <v>34</v>
      </c>
      <c r="F73" t="s">
        <v>34</v>
      </c>
      <c r="G73" t="s">
        <v>233</v>
      </c>
      <c r="H73" t="s">
        <v>75</v>
      </c>
      <c r="I73" t="s">
        <v>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41</v>
      </c>
      <c r="B2" t="s">
        <v>63</v>
      </c>
      <c r="C2" t="s">
        <v>64</v>
      </c>
      <c r="D2" t="s">
        <v>294</v>
      </c>
      <c r="E2" t="s">
        <v>34</v>
      </c>
      <c r="F2" t="s">
        <v>34</v>
      </c>
      <c r="G2" t="s">
        <v>64</v>
      </c>
      <c r="H2" t="s">
        <v>295</v>
      </c>
      <c r="I2" t="s">
        <v>34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24</v>
      </c>
      <c r="B2" t="s">
        <v>66</v>
      </c>
      <c r="C2" t="s">
        <v>64</v>
      </c>
      <c r="D2" t="s">
        <v>274</v>
      </c>
      <c r="E2" t="s">
        <v>34</v>
      </c>
      <c r="F2" t="s">
        <v>34</v>
      </c>
      <c r="G2" t="s">
        <v>64</v>
      </c>
      <c r="H2" t="s">
        <v>76</v>
      </c>
      <c r="I2" t="s">
        <v>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229"/>
  <sheetViews>
    <sheetView workbookViewId="0"/>
  </sheetViews>
  <sheetFormatPr defaultRowHeight="15" x14ac:dyDescent="0.25"/>
  <cols>
    <col min="1" max="2" width="18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85</v>
      </c>
      <c r="B1" t="s">
        <v>86</v>
      </c>
      <c r="C1" t="s">
        <v>87</v>
      </c>
      <c r="D1" t="s">
        <v>58</v>
      </c>
    </row>
    <row r="2" spans="1:4" x14ac:dyDescent="0.25">
      <c r="A2" t="s">
        <v>105</v>
      </c>
      <c r="B2" t="s">
        <v>42</v>
      </c>
      <c r="C2">
        <v>184</v>
      </c>
      <c r="D2" t="s">
        <v>58</v>
      </c>
    </row>
    <row r="3" spans="1:4" x14ac:dyDescent="0.25">
      <c r="A3" t="s">
        <v>43</v>
      </c>
      <c r="B3" t="s">
        <v>119</v>
      </c>
      <c r="C3">
        <v>148</v>
      </c>
      <c r="D3" t="s">
        <v>277</v>
      </c>
    </row>
    <row r="4" spans="1:4" x14ac:dyDescent="0.25">
      <c r="A4" t="s">
        <v>43</v>
      </c>
      <c r="B4" t="s">
        <v>143</v>
      </c>
      <c r="C4">
        <v>7</v>
      </c>
      <c r="D4" t="s">
        <v>42</v>
      </c>
    </row>
    <row r="5" spans="1:4" x14ac:dyDescent="0.25">
      <c r="A5" t="s">
        <v>43</v>
      </c>
      <c r="B5" t="s">
        <v>52</v>
      </c>
      <c r="C5">
        <v>28</v>
      </c>
      <c r="D5" t="s">
        <v>67</v>
      </c>
    </row>
    <row r="6" spans="1:4" x14ac:dyDescent="0.25">
      <c r="A6" t="s">
        <v>43</v>
      </c>
      <c r="B6" t="s">
        <v>60</v>
      </c>
      <c r="C6">
        <v>1</v>
      </c>
      <c r="D6" t="s">
        <v>42</v>
      </c>
    </row>
    <row r="7" spans="1:4" x14ac:dyDescent="0.25">
      <c r="A7" t="s">
        <v>108</v>
      </c>
      <c r="B7" t="s">
        <v>42</v>
      </c>
      <c r="C7">
        <v>2881</v>
      </c>
      <c r="D7" t="s">
        <v>58</v>
      </c>
    </row>
    <row r="8" spans="1:4" x14ac:dyDescent="0.25">
      <c r="A8" t="s">
        <v>43</v>
      </c>
      <c r="B8" t="s">
        <v>145</v>
      </c>
      <c r="C8">
        <v>200</v>
      </c>
      <c r="D8" t="s">
        <v>288</v>
      </c>
    </row>
    <row r="9" spans="1:4" x14ac:dyDescent="0.25">
      <c r="A9" t="s">
        <v>43</v>
      </c>
      <c r="B9" t="s">
        <v>119</v>
      </c>
      <c r="C9">
        <v>352</v>
      </c>
      <c r="D9" t="s">
        <v>296</v>
      </c>
    </row>
    <row r="10" spans="1:4" x14ac:dyDescent="0.25">
      <c r="A10" t="s">
        <v>43</v>
      </c>
      <c r="B10" t="s">
        <v>111</v>
      </c>
      <c r="C10">
        <v>560</v>
      </c>
      <c r="D10" t="s">
        <v>225</v>
      </c>
    </row>
    <row r="11" spans="1:4" x14ac:dyDescent="0.25">
      <c r="A11" t="s">
        <v>43</v>
      </c>
      <c r="B11" t="s">
        <v>109</v>
      </c>
      <c r="C11">
        <v>1259</v>
      </c>
      <c r="D11" t="s">
        <v>37</v>
      </c>
    </row>
    <row r="12" spans="1:4" x14ac:dyDescent="0.25">
      <c r="A12" t="s">
        <v>43</v>
      </c>
      <c r="B12" t="s">
        <v>155</v>
      </c>
      <c r="C12">
        <v>10</v>
      </c>
      <c r="D12" t="s">
        <v>42</v>
      </c>
    </row>
    <row r="13" spans="1:4" x14ac:dyDescent="0.25">
      <c r="A13" t="s">
        <v>43</v>
      </c>
      <c r="B13" t="s">
        <v>143</v>
      </c>
      <c r="C13">
        <v>18</v>
      </c>
      <c r="D13" t="s">
        <v>42</v>
      </c>
    </row>
    <row r="14" spans="1:4" x14ac:dyDescent="0.25">
      <c r="A14" t="s">
        <v>43</v>
      </c>
      <c r="B14" t="s">
        <v>112</v>
      </c>
      <c r="C14">
        <v>28</v>
      </c>
      <c r="D14" t="s">
        <v>42</v>
      </c>
    </row>
    <row r="15" spans="1:4" x14ac:dyDescent="0.25">
      <c r="A15" t="s">
        <v>43</v>
      </c>
      <c r="B15" t="s">
        <v>52</v>
      </c>
      <c r="C15">
        <v>432</v>
      </c>
      <c r="D15" t="s">
        <v>67</v>
      </c>
    </row>
    <row r="16" spans="1:4" x14ac:dyDescent="0.25">
      <c r="A16" t="s">
        <v>43</v>
      </c>
      <c r="B16" t="s">
        <v>60</v>
      </c>
      <c r="C16">
        <v>22</v>
      </c>
      <c r="D16" t="s">
        <v>42</v>
      </c>
    </row>
    <row r="17" spans="1:4" x14ac:dyDescent="0.25">
      <c r="A17" t="s">
        <v>110</v>
      </c>
      <c r="B17" t="s">
        <v>42</v>
      </c>
      <c r="C17">
        <v>502</v>
      </c>
      <c r="D17" t="s">
        <v>58</v>
      </c>
    </row>
    <row r="18" spans="1:4" x14ac:dyDescent="0.25">
      <c r="A18" t="s">
        <v>43</v>
      </c>
      <c r="B18" t="s">
        <v>130</v>
      </c>
      <c r="C18">
        <v>96</v>
      </c>
      <c r="D18" t="s">
        <v>297</v>
      </c>
    </row>
    <row r="19" spans="1:4" x14ac:dyDescent="0.25">
      <c r="A19" t="s">
        <v>43</v>
      </c>
      <c r="B19" t="s">
        <v>111</v>
      </c>
      <c r="C19">
        <v>307</v>
      </c>
      <c r="D19" t="s">
        <v>69</v>
      </c>
    </row>
    <row r="20" spans="1:4" x14ac:dyDescent="0.25">
      <c r="A20" t="s">
        <v>43</v>
      </c>
      <c r="B20" t="s">
        <v>132</v>
      </c>
      <c r="C20">
        <v>5</v>
      </c>
      <c r="D20" t="s">
        <v>42</v>
      </c>
    </row>
    <row r="21" spans="1:4" x14ac:dyDescent="0.25">
      <c r="A21" t="s">
        <v>43</v>
      </c>
      <c r="B21" t="s">
        <v>112</v>
      </c>
      <c r="C21">
        <v>15</v>
      </c>
      <c r="D21" t="s">
        <v>42</v>
      </c>
    </row>
    <row r="22" spans="1:4" x14ac:dyDescent="0.25">
      <c r="A22" t="s">
        <v>43</v>
      </c>
      <c r="B22" t="s">
        <v>52</v>
      </c>
      <c r="C22">
        <v>75</v>
      </c>
      <c r="D22" t="s">
        <v>67</v>
      </c>
    </row>
    <row r="23" spans="1:4" x14ac:dyDescent="0.25">
      <c r="A23" t="s">
        <v>43</v>
      </c>
      <c r="B23" t="s">
        <v>60</v>
      </c>
      <c r="C23">
        <v>4</v>
      </c>
      <c r="D23" t="s">
        <v>42</v>
      </c>
    </row>
    <row r="24" spans="1:4" x14ac:dyDescent="0.25">
      <c r="A24" t="s">
        <v>113</v>
      </c>
      <c r="B24" t="s">
        <v>42</v>
      </c>
      <c r="C24">
        <v>1963</v>
      </c>
      <c r="D24" t="s">
        <v>58</v>
      </c>
    </row>
    <row r="25" spans="1:4" x14ac:dyDescent="0.25">
      <c r="A25" t="s">
        <v>43</v>
      </c>
      <c r="B25" t="s">
        <v>114</v>
      </c>
      <c r="C25">
        <v>1654</v>
      </c>
      <c r="D25" t="s">
        <v>37</v>
      </c>
    </row>
    <row r="26" spans="1:4" x14ac:dyDescent="0.25">
      <c r="A26" t="s">
        <v>43</v>
      </c>
      <c r="B26" t="s">
        <v>52</v>
      </c>
      <c r="C26">
        <v>294</v>
      </c>
      <c r="D26" t="s">
        <v>67</v>
      </c>
    </row>
    <row r="27" spans="1:4" x14ac:dyDescent="0.25">
      <c r="A27" t="s">
        <v>43</v>
      </c>
      <c r="B27" t="s">
        <v>60</v>
      </c>
      <c r="C27">
        <v>15</v>
      </c>
      <c r="D27" t="s">
        <v>42</v>
      </c>
    </row>
    <row r="28" spans="1:4" x14ac:dyDescent="0.25">
      <c r="A28" t="s">
        <v>115</v>
      </c>
      <c r="B28" t="s">
        <v>42</v>
      </c>
      <c r="C28">
        <v>1867</v>
      </c>
      <c r="D28" t="s">
        <v>58</v>
      </c>
    </row>
    <row r="29" spans="1:4" x14ac:dyDescent="0.25">
      <c r="A29" t="s">
        <v>43</v>
      </c>
      <c r="B29" t="s">
        <v>119</v>
      </c>
      <c r="C29">
        <v>1498</v>
      </c>
      <c r="D29" t="s">
        <v>238</v>
      </c>
    </row>
    <row r="30" spans="1:4" x14ac:dyDescent="0.25">
      <c r="A30" t="s">
        <v>43</v>
      </c>
      <c r="B30" t="s">
        <v>143</v>
      </c>
      <c r="C30">
        <v>75</v>
      </c>
      <c r="D30" t="s">
        <v>42</v>
      </c>
    </row>
    <row r="31" spans="1:4" x14ac:dyDescent="0.25">
      <c r="A31" t="s">
        <v>43</v>
      </c>
      <c r="B31" t="s">
        <v>52</v>
      </c>
      <c r="C31">
        <v>280</v>
      </c>
      <c r="D31" t="s">
        <v>67</v>
      </c>
    </row>
    <row r="32" spans="1:4" x14ac:dyDescent="0.25">
      <c r="A32" t="s">
        <v>43</v>
      </c>
      <c r="B32" t="s">
        <v>60</v>
      </c>
      <c r="C32">
        <v>14</v>
      </c>
      <c r="D32" t="s">
        <v>42</v>
      </c>
    </row>
    <row r="33" spans="1:4" x14ac:dyDescent="0.25">
      <c r="A33" t="s">
        <v>116</v>
      </c>
      <c r="B33" t="s">
        <v>42</v>
      </c>
      <c r="C33">
        <v>2978</v>
      </c>
      <c r="D33" t="s">
        <v>58</v>
      </c>
    </row>
    <row r="34" spans="1:4" x14ac:dyDescent="0.25">
      <c r="A34" t="s">
        <v>43</v>
      </c>
      <c r="B34" t="s">
        <v>106</v>
      </c>
      <c r="C34">
        <v>2509</v>
      </c>
      <c r="D34" t="s">
        <v>37</v>
      </c>
    </row>
    <row r="35" spans="1:4" x14ac:dyDescent="0.25">
      <c r="A35" t="s">
        <v>43</v>
      </c>
      <c r="B35" t="s">
        <v>52</v>
      </c>
      <c r="C35">
        <v>447</v>
      </c>
      <c r="D35" t="s">
        <v>67</v>
      </c>
    </row>
    <row r="36" spans="1:4" x14ac:dyDescent="0.25">
      <c r="A36" t="s">
        <v>43</v>
      </c>
      <c r="B36" t="s">
        <v>60</v>
      </c>
      <c r="C36">
        <v>22</v>
      </c>
      <c r="D36" t="s">
        <v>42</v>
      </c>
    </row>
    <row r="37" spans="1:4" x14ac:dyDescent="0.25">
      <c r="A37" t="s">
        <v>117</v>
      </c>
      <c r="B37" t="s">
        <v>42</v>
      </c>
      <c r="C37">
        <v>2887</v>
      </c>
      <c r="D37" t="s">
        <v>58</v>
      </c>
    </row>
    <row r="38" spans="1:4" x14ac:dyDescent="0.25">
      <c r="A38" t="s">
        <v>43</v>
      </c>
      <c r="B38" t="s">
        <v>118</v>
      </c>
      <c r="C38">
        <v>2025</v>
      </c>
      <c r="D38" t="s">
        <v>37</v>
      </c>
    </row>
    <row r="39" spans="1:4" x14ac:dyDescent="0.25">
      <c r="A39" t="s">
        <v>43</v>
      </c>
      <c r="B39" t="s">
        <v>119</v>
      </c>
      <c r="C39">
        <v>408</v>
      </c>
      <c r="D39" t="s">
        <v>37</v>
      </c>
    </row>
    <row r="40" spans="1:4" x14ac:dyDescent="0.25">
      <c r="A40" t="s">
        <v>43</v>
      </c>
      <c r="B40" t="s">
        <v>52</v>
      </c>
      <c r="C40">
        <v>433</v>
      </c>
      <c r="D40" t="s">
        <v>67</v>
      </c>
    </row>
    <row r="41" spans="1:4" x14ac:dyDescent="0.25">
      <c r="A41" t="s">
        <v>43</v>
      </c>
      <c r="B41" t="s">
        <v>60</v>
      </c>
      <c r="C41">
        <v>22</v>
      </c>
      <c r="D41" t="s">
        <v>42</v>
      </c>
    </row>
    <row r="42" spans="1:4" x14ac:dyDescent="0.25">
      <c r="A42" t="s">
        <v>120</v>
      </c>
      <c r="B42" t="s">
        <v>42</v>
      </c>
      <c r="C42">
        <v>2608</v>
      </c>
      <c r="D42" t="s">
        <v>58</v>
      </c>
    </row>
    <row r="43" spans="1:4" x14ac:dyDescent="0.25">
      <c r="A43" t="s">
        <v>43</v>
      </c>
      <c r="B43" t="s">
        <v>121</v>
      </c>
      <c r="C43">
        <v>2093</v>
      </c>
      <c r="D43" t="s">
        <v>65</v>
      </c>
    </row>
    <row r="44" spans="1:4" x14ac:dyDescent="0.25">
      <c r="A44" t="s">
        <v>43</v>
      </c>
      <c r="B44" t="s">
        <v>122</v>
      </c>
      <c r="C44">
        <v>105</v>
      </c>
      <c r="D44" t="s">
        <v>42</v>
      </c>
    </row>
    <row r="45" spans="1:4" x14ac:dyDescent="0.25">
      <c r="A45" t="s">
        <v>43</v>
      </c>
      <c r="B45" t="s">
        <v>52</v>
      </c>
      <c r="C45">
        <v>391</v>
      </c>
      <c r="D45" t="s">
        <v>67</v>
      </c>
    </row>
    <row r="46" spans="1:4" x14ac:dyDescent="0.25">
      <c r="A46" t="s">
        <v>43</v>
      </c>
      <c r="B46" t="s">
        <v>60</v>
      </c>
      <c r="C46">
        <v>20</v>
      </c>
      <c r="D46" t="s">
        <v>42</v>
      </c>
    </row>
    <row r="47" spans="1:4" x14ac:dyDescent="0.25">
      <c r="A47" t="s">
        <v>123</v>
      </c>
      <c r="B47" t="s">
        <v>42</v>
      </c>
      <c r="C47">
        <v>2747</v>
      </c>
      <c r="D47" t="s">
        <v>58</v>
      </c>
    </row>
    <row r="48" spans="1:4" x14ac:dyDescent="0.25">
      <c r="A48" t="s">
        <v>43</v>
      </c>
      <c r="B48" t="s">
        <v>138</v>
      </c>
      <c r="C48">
        <v>1014</v>
      </c>
      <c r="D48" t="s">
        <v>284</v>
      </c>
    </row>
    <row r="49" spans="1:4" x14ac:dyDescent="0.25">
      <c r="A49" t="s">
        <v>43</v>
      </c>
      <c r="B49" t="s">
        <v>124</v>
      </c>
      <c r="C49">
        <v>1190</v>
      </c>
      <c r="D49" t="s">
        <v>37</v>
      </c>
    </row>
    <row r="50" spans="1:4" x14ac:dyDescent="0.25">
      <c r="A50" t="s">
        <v>43</v>
      </c>
      <c r="B50" t="s">
        <v>153</v>
      </c>
      <c r="C50">
        <v>51</v>
      </c>
      <c r="D50" t="s">
        <v>42</v>
      </c>
    </row>
    <row r="51" spans="1:4" x14ac:dyDescent="0.25">
      <c r="A51" t="s">
        <v>43</v>
      </c>
      <c r="B51" t="s">
        <v>252</v>
      </c>
      <c r="C51">
        <v>60</v>
      </c>
      <c r="D51" t="s">
        <v>42</v>
      </c>
    </row>
    <row r="52" spans="1:4" x14ac:dyDescent="0.25">
      <c r="A52" t="s">
        <v>43</v>
      </c>
      <c r="B52" t="s">
        <v>52</v>
      </c>
      <c r="C52">
        <v>412</v>
      </c>
      <c r="D52" t="s">
        <v>67</v>
      </c>
    </row>
    <row r="53" spans="1:4" x14ac:dyDescent="0.25">
      <c r="A53" t="s">
        <v>43</v>
      </c>
      <c r="B53" t="s">
        <v>60</v>
      </c>
      <c r="C53">
        <v>21</v>
      </c>
      <c r="D53" t="s">
        <v>42</v>
      </c>
    </row>
    <row r="54" spans="1:4" x14ac:dyDescent="0.25">
      <c r="A54" t="s">
        <v>125</v>
      </c>
      <c r="B54" t="s">
        <v>42</v>
      </c>
      <c r="C54">
        <v>450</v>
      </c>
      <c r="D54" t="s">
        <v>58</v>
      </c>
    </row>
    <row r="55" spans="1:4" x14ac:dyDescent="0.25">
      <c r="A55" t="s">
        <v>43</v>
      </c>
      <c r="B55" t="s">
        <v>237</v>
      </c>
      <c r="C55">
        <v>361</v>
      </c>
      <c r="D55" t="s">
        <v>263</v>
      </c>
    </row>
    <row r="56" spans="1:4" x14ac:dyDescent="0.25">
      <c r="A56" t="s">
        <v>43</v>
      </c>
      <c r="B56" t="s">
        <v>239</v>
      </c>
      <c r="C56">
        <v>18</v>
      </c>
      <c r="D56" t="s">
        <v>42</v>
      </c>
    </row>
    <row r="57" spans="1:4" x14ac:dyDescent="0.25">
      <c r="A57" t="s">
        <v>43</v>
      </c>
      <c r="B57" t="s">
        <v>52</v>
      </c>
      <c r="C57">
        <v>68</v>
      </c>
      <c r="D57" t="s">
        <v>67</v>
      </c>
    </row>
    <row r="58" spans="1:4" x14ac:dyDescent="0.25">
      <c r="A58" t="s">
        <v>43</v>
      </c>
      <c r="B58" t="s">
        <v>60</v>
      </c>
      <c r="C58">
        <v>3</v>
      </c>
      <c r="D58" t="s">
        <v>42</v>
      </c>
    </row>
    <row r="59" spans="1:4" x14ac:dyDescent="0.25">
      <c r="A59" t="s">
        <v>126</v>
      </c>
      <c r="B59" t="s">
        <v>42</v>
      </c>
      <c r="C59">
        <v>2886</v>
      </c>
      <c r="D59" t="s">
        <v>58</v>
      </c>
    </row>
    <row r="60" spans="1:4" x14ac:dyDescent="0.25">
      <c r="A60" t="s">
        <v>43</v>
      </c>
      <c r="B60" t="s">
        <v>121</v>
      </c>
      <c r="C60">
        <v>1083</v>
      </c>
      <c r="D60" t="s">
        <v>140</v>
      </c>
    </row>
    <row r="61" spans="1:4" x14ac:dyDescent="0.25">
      <c r="A61" t="s">
        <v>43</v>
      </c>
      <c r="B61" t="s">
        <v>127</v>
      </c>
      <c r="C61">
        <v>942</v>
      </c>
      <c r="D61" t="s">
        <v>140</v>
      </c>
    </row>
    <row r="62" spans="1:4" x14ac:dyDescent="0.25">
      <c r="A62" t="s">
        <v>43</v>
      </c>
      <c r="B62" t="s">
        <v>247</v>
      </c>
      <c r="C62">
        <v>291</v>
      </c>
      <c r="D62" t="s">
        <v>272</v>
      </c>
    </row>
    <row r="63" spans="1:4" x14ac:dyDescent="0.25">
      <c r="A63" t="s">
        <v>43</v>
      </c>
      <c r="B63" t="s">
        <v>122</v>
      </c>
      <c r="C63">
        <v>54</v>
      </c>
      <c r="D63" t="s">
        <v>42</v>
      </c>
    </row>
    <row r="64" spans="1:4" x14ac:dyDescent="0.25">
      <c r="A64" t="s">
        <v>43</v>
      </c>
      <c r="B64" t="s">
        <v>128</v>
      </c>
      <c r="C64">
        <v>47</v>
      </c>
      <c r="D64" t="s">
        <v>42</v>
      </c>
    </row>
    <row r="65" spans="1:4" x14ac:dyDescent="0.25">
      <c r="A65" t="s">
        <v>43</v>
      </c>
      <c r="B65" t="s">
        <v>249</v>
      </c>
      <c r="C65">
        <v>15</v>
      </c>
      <c r="D65" t="s">
        <v>42</v>
      </c>
    </row>
    <row r="66" spans="1:4" x14ac:dyDescent="0.25">
      <c r="A66" t="s">
        <v>43</v>
      </c>
      <c r="B66" t="s">
        <v>52</v>
      </c>
      <c r="C66">
        <v>433</v>
      </c>
      <c r="D66" t="s">
        <v>67</v>
      </c>
    </row>
    <row r="67" spans="1:4" x14ac:dyDescent="0.25">
      <c r="A67" t="s">
        <v>43</v>
      </c>
      <c r="B67" t="s">
        <v>60</v>
      </c>
      <c r="C67">
        <v>22</v>
      </c>
      <c r="D67" t="s">
        <v>42</v>
      </c>
    </row>
    <row r="68" spans="1:4" x14ac:dyDescent="0.25">
      <c r="A68" t="s">
        <v>129</v>
      </c>
      <c r="B68" t="s">
        <v>42</v>
      </c>
      <c r="C68">
        <v>2648</v>
      </c>
      <c r="D68" t="s">
        <v>58</v>
      </c>
    </row>
    <row r="69" spans="1:4" x14ac:dyDescent="0.25">
      <c r="A69" t="s">
        <v>43</v>
      </c>
      <c r="B69" t="s">
        <v>130</v>
      </c>
      <c r="C69">
        <v>1750</v>
      </c>
      <c r="D69" t="s">
        <v>37</v>
      </c>
    </row>
    <row r="70" spans="1:4" x14ac:dyDescent="0.25">
      <c r="A70" t="s">
        <v>43</v>
      </c>
      <c r="B70" t="s">
        <v>109</v>
      </c>
      <c r="C70">
        <v>855</v>
      </c>
      <c r="D70" t="s">
        <v>280</v>
      </c>
    </row>
    <row r="71" spans="1:4" x14ac:dyDescent="0.25">
      <c r="A71" t="s">
        <v>43</v>
      </c>
      <c r="B71" t="s">
        <v>289</v>
      </c>
      <c r="C71">
        <v>43</v>
      </c>
      <c r="D71" t="s">
        <v>42</v>
      </c>
    </row>
    <row r="72" spans="1:4" x14ac:dyDescent="0.25">
      <c r="A72" t="s">
        <v>131</v>
      </c>
      <c r="B72" t="s">
        <v>42</v>
      </c>
      <c r="C72">
        <v>470</v>
      </c>
      <c r="D72" t="s">
        <v>58</v>
      </c>
    </row>
    <row r="73" spans="1:4" x14ac:dyDescent="0.25">
      <c r="A73" t="s">
        <v>43</v>
      </c>
      <c r="B73" t="s">
        <v>111</v>
      </c>
      <c r="C73">
        <v>448</v>
      </c>
      <c r="D73" t="s">
        <v>267</v>
      </c>
    </row>
    <row r="74" spans="1:4" x14ac:dyDescent="0.25">
      <c r="A74" t="s">
        <v>43</v>
      </c>
      <c r="B74" t="s">
        <v>112</v>
      </c>
      <c r="C74">
        <v>22</v>
      </c>
      <c r="D74" t="s">
        <v>42</v>
      </c>
    </row>
    <row r="75" spans="1:4" x14ac:dyDescent="0.25">
      <c r="A75" t="s">
        <v>133</v>
      </c>
      <c r="B75" t="s">
        <v>42</v>
      </c>
      <c r="C75">
        <v>2593</v>
      </c>
      <c r="D75" t="s">
        <v>58</v>
      </c>
    </row>
    <row r="76" spans="1:4" x14ac:dyDescent="0.25">
      <c r="A76" t="s">
        <v>43</v>
      </c>
      <c r="B76" t="s">
        <v>114</v>
      </c>
      <c r="C76">
        <v>748</v>
      </c>
      <c r="D76" t="s">
        <v>80</v>
      </c>
    </row>
    <row r="77" spans="1:4" x14ac:dyDescent="0.25">
      <c r="A77" t="s">
        <v>43</v>
      </c>
      <c r="B77" t="s">
        <v>124</v>
      </c>
      <c r="C77">
        <v>641</v>
      </c>
      <c r="D77" t="s">
        <v>268</v>
      </c>
    </row>
    <row r="78" spans="1:4" x14ac:dyDescent="0.25">
      <c r="A78" t="s">
        <v>43</v>
      </c>
      <c r="B78" t="s">
        <v>111</v>
      </c>
      <c r="C78">
        <v>767</v>
      </c>
      <c r="D78" t="s">
        <v>273</v>
      </c>
    </row>
    <row r="79" spans="1:4" x14ac:dyDescent="0.25">
      <c r="A79" t="s">
        <v>43</v>
      </c>
      <c r="B79" t="s">
        <v>134</v>
      </c>
      <c r="C79">
        <v>37</v>
      </c>
      <c r="D79" t="s">
        <v>42</v>
      </c>
    </row>
    <row r="80" spans="1:4" x14ac:dyDescent="0.25">
      <c r="A80" t="s">
        <v>43</v>
      </c>
      <c r="B80" t="s">
        <v>252</v>
      </c>
      <c r="C80">
        <v>32</v>
      </c>
      <c r="D80" t="s">
        <v>42</v>
      </c>
    </row>
    <row r="81" spans="1:4" x14ac:dyDescent="0.25">
      <c r="A81" t="s">
        <v>43</v>
      </c>
      <c r="B81" t="s">
        <v>112</v>
      </c>
      <c r="C81">
        <v>38</v>
      </c>
      <c r="D81" t="s">
        <v>42</v>
      </c>
    </row>
    <row r="82" spans="1:4" x14ac:dyDescent="0.25">
      <c r="A82" t="s">
        <v>43</v>
      </c>
      <c r="B82" t="s">
        <v>52</v>
      </c>
      <c r="C82">
        <v>314</v>
      </c>
      <c r="D82" t="s">
        <v>67</v>
      </c>
    </row>
    <row r="83" spans="1:4" x14ac:dyDescent="0.25">
      <c r="A83" t="s">
        <v>43</v>
      </c>
      <c r="B83" t="s">
        <v>60</v>
      </c>
      <c r="C83">
        <v>16</v>
      </c>
      <c r="D83" t="s">
        <v>42</v>
      </c>
    </row>
    <row r="84" spans="1:4" x14ac:dyDescent="0.25">
      <c r="A84" t="s">
        <v>135</v>
      </c>
      <c r="B84" t="s">
        <v>42</v>
      </c>
      <c r="C84">
        <v>2641</v>
      </c>
      <c r="D84" t="s">
        <v>58</v>
      </c>
    </row>
    <row r="85" spans="1:4" x14ac:dyDescent="0.25">
      <c r="A85" t="s">
        <v>43</v>
      </c>
      <c r="B85" t="s">
        <v>114</v>
      </c>
      <c r="C85">
        <v>534</v>
      </c>
      <c r="D85" t="s">
        <v>298</v>
      </c>
    </row>
    <row r="86" spans="1:4" x14ac:dyDescent="0.25">
      <c r="A86" t="s">
        <v>43</v>
      </c>
      <c r="B86" t="s">
        <v>130</v>
      </c>
      <c r="C86">
        <v>1095</v>
      </c>
      <c r="D86" t="s">
        <v>243</v>
      </c>
    </row>
    <row r="87" spans="1:4" x14ac:dyDescent="0.25">
      <c r="A87" t="s">
        <v>43</v>
      </c>
      <c r="B87" t="s">
        <v>138</v>
      </c>
      <c r="C87">
        <v>490</v>
      </c>
      <c r="D87" t="s">
        <v>278</v>
      </c>
    </row>
    <row r="88" spans="1:4" x14ac:dyDescent="0.25">
      <c r="A88" t="s">
        <v>43</v>
      </c>
      <c r="B88" t="s">
        <v>134</v>
      </c>
      <c r="C88">
        <v>27</v>
      </c>
      <c r="D88" t="s">
        <v>42</v>
      </c>
    </row>
    <row r="89" spans="1:4" x14ac:dyDescent="0.25">
      <c r="A89" t="s">
        <v>43</v>
      </c>
      <c r="B89" t="s">
        <v>132</v>
      </c>
      <c r="C89">
        <v>55</v>
      </c>
      <c r="D89" t="s">
        <v>42</v>
      </c>
    </row>
    <row r="90" spans="1:4" x14ac:dyDescent="0.25">
      <c r="A90" t="s">
        <v>43</v>
      </c>
      <c r="B90" t="s">
        <v>153</v>
      </c>
      <c r="C90">
        <v>24</v>
      </c>
      <c r="D90" t="s">
        <v>42</v>
      </c>
    </row>
    <row r="91" spans="1:4" x14ac:dyDescent="0.25">
      <c r="A91" t="s">
        <v>43</v>
      </c>
      <c r="B91" t="s">
        <v>52</v>
      </c>
      <c r="C91">
        <v>396</v>
      </c>
      <c r="D91" t="s">
        <v>67</v>
      </c>
    </row>
    <row r="92" spans="1:4" x14ac:dyDescent="0.25">
      <c r="A92" t="s">
        <v>43</v>
      </c>
      <c r="B92" t="s">
        <v>60</v>
      </c>
      <c r="C92">
        <v>20</v>
      </c>
      <c r="D92" t="s">
        <v>42</v>
      </c>
    </row>
    <row r="93" spans="1:4" x14ac:dyDescent="0.25">
      <c r="A93" t="s">
        <v>137</v>
      </c>
      <c r="B93" t="s">
        <v>42</v>
      </c>
      <c r="C93">
        <v>1106</v>
      </c>
      <c r="D93" t="s">
        <v>58</v>
      </c>
    </row>
    <row r="94" spans="1:4" x14ac:dyDescent="0.25">
      <c r="A94" t="s">
        <v>43</v>
      </c>
      <c r="B94" t="s">
        <v>138</v>
      </c>
      <c r="C94">
        <v>1053</v>
      </c>
      <c r="D94" t="s">
        <v>37</v>
      </c>
    </row>
    <row r="95" spans="1:4" x14ac:dyDescent="0.25">
      <c r="A95" t="s">
        <v>43</v>
      </c>
      <c r="B95" t="s">
        <v>153</v>
      </c>
      <c r="C95">
        <v>53</v>
      </c>
      <c r="D95" t="s">
        <v>42</v>
      </c>
    </row>
    <row r="96" spans="1:4" x14ac:dyDescent="0.25">
      <c r="A96" t="s">
        <v>139</v>
      </c>
      <c r="B96" t="s">
        <v>42</v>
      </c>
      <c r="C96">
        <v>773</v>
      </c>
      <c r="D96" t="s">
        <v>58</v>
      </c>
    </row>
    <row r="97" spans="1:4" x14ac:dyDescent="0.25">
      <c r="A97" t="s">
        <v>43</v>
      </c>
      <c r="B97" t="s">
        <v>237</v>
      </c>
      <c r="C97">
        <v>503</v>
      </c>
      <c r="D97" t="s">
        <v>299</v>
      </c>
    </row>
    <row r="98" spans="1:4" x14ac:dyDescent="0.25">
      <c r="A98" t="s">
        <v>43</v>
      </c>
      <c r="B98" t="s">
        <v>119</v>
      </c>
      <c r="C98">
        <v>117</v>
      </c>
      <c r="D98" t="s">
        <v>285</v>
      </c>
    </row>
    <row r="99" spans="1:4" x14ac:dyDescent="0.25">
      <c r="A99" t="s">
        <v>43</v>
      </c>
      <c r="B99" t="s">
        <v>239</v>
      </c>
      <c r="C99">
        <v>25</v>
      </c>
      <c r="D99" t="s">
        <v>42</v>
      </c>
    </row>
    <row r="100" spans="1:4" x14ac:dyDescent="0.25">
      <c r="A100" t="s">
        <v>43</v>
      </c>
      <c r="B100" t="s">
        <v>143</v>
      </c>
      <c r="C100">
        <v>6</v>
      </c>
      <c r="D100" t="s">
        <v>42</v>
      </c>
    </row>
    <row r="101" spans="1:4" x14ac:dyDescent="0.25">
      <c r="A101" t="s">
        <v>43</v>
      </c>
      <c r="B101" t="s">
        <v>52</v>
      </c>
      <c r="C101">
        <v>116</v>
      </c>
      <c r="D101" t="s">
        <v>67</v>
      </c>
    </row>
    <row r="102" spans="1:4" x14ac:dyDescent="0.25">
      <c r="A102" t="s">
        <v>43</v>
      </c>
      <c r="B102" t="s">
        <v>60</v>
      </c>
      <c r="C102">
        <v>6</v>
      </c>
      <c r="D102" t="s">
        <v>42</v>
      </c>
    </row>
    <row r="103" spans="1:4" x14ac:dyDescent="0.25">
      <c r="A103" t="s">
        <v>141</v>
      </c>
      <c r="B103" t="s">
        <v>42</v>
      </c>
      <c r="C103">
        <v>425</v>
      </c>
      <c r="D103" t="s">
        <v>58</v>
      </c>
    </row>
    <row r="104" spans="1:4" x14ac:dyDescent="0.25">
      <c r="A104" t="s">
        <v>43</v>
      </c>
      <c r="B104" t="s">
        <v>118</v>
      </c>
      <c r="C104">
        <v>337</v>
      </c>
      <c r="D104" t="s">
        <v>61</v>
      </c>
    </row>
    <row r="105" spans="1:4" x14ac:dyDescent="0.25">
      <c r="A105" t="s">
        <v>43</v>
      </c>
      <c r="B105" t="s">
        <v>119</v>
      </c>
      <c r="C105">
        <v>4</v>
      </c>
      <c r="D105" t="s">
        <v>61</v>
      </c>
    </row>
    <row r="106" spans="1:4" x14ac:dyDescent="0.25">
      <c r="A106" t="s">
        <v>43</v>
      </c>
      <c r="B106" t="s">
        <v>142</v>
      </c>
      <c r="C106">
        <v>17</v>
      </c>
      <c r="D106" t="s">
        <v>42</v>
      </c>
    </row>
    <row r="107" spans="1:4" x14ac:dyDescent="0.25">
      <c r="A107" t="s">
        <v>43</v>
      </c>
      <c r="B107" t="s">
        <v>143</v>
      </c>
      <c r="C107">
        <v>0</v>
      </c>
      <c r="D107" t="s">
        <v>42</v>
      </c>
    </row>
    <row r="108" spans="1:4" x14ac:dyDescent="0.25">
      <c r="A108" t="s">
        <v>43</v>
      </c>
      <c r="B108" t="s">
        <v>52</v>
      </c>
      <c r="C108">
        <v>64</v>
      </c>
      <c r="D108" t="s">
        <v>67</v>
      </c>
    </row>
    <row r="109" spans="1:4" x14ac:dyDescent="0.25">
      <c r="A109" t="s">
        <v>43</v>
      </c>
      <c r="B109" t="s">
        <v>60</v>
      </c>
      <c r="C109">
        <v>3</v>
      </c>
      <c r="D109" t="s">
        <v>42</v>
      </c>
    </row>
    <row r="110" spans="1:4" x14ac:dyDescent="0.25">
      <c r="A110" t="s">
        <v>144</v>
      </c>
      <c r="B110" t="s">
        <v>42</v>
      </c>
      <c r="C110">
        <v>2962</v>
      </c>
      <c r="D110" t="s">
        <v>58</v>
      </c>
    </row>
    <row r="111" spans="1:4" x14ac:dyDescent="0.25">
      <c r="A111" t="s">
        <v>43</v>
      </c>
      <c r="B111" t="s">
        <v>145</v>
      </c>
      <c r="C111">
        <v>2495</v>
      </c>
      <c r="D111" t="s">
        <v>37</v>
      </c>
    </row>
    <row r="112" spans="1:4" x14ac:dyDescent="0.25">
      <c r="A112" t="s">
        <v>43</v>
      </c>
      <c r="B112" t="s">
        <v>52</v>
      </c>
      <c r="C112">
        <v>444</v>
      </c>
      <c r="D112" t="s">
        <v>67</v>
      </c>
    </row>
    <row r="113" spans="1:4" x14ac:dyDescent="0.25">
      <c r="A113" t="s">
        <v>43</v>
      </c>
      <c r="B113" t="s">
        <v>60</v>
      </c>
      <c r="C113">
        <v>22</v>
      </c>
      <c r="D113" t="s">
        <v>42</v>
      </c>
    </row>
    <row r="114" spans="1:4" x14ac:dyDescent="0.25">
      <c r="A114" t="s">
        <v>146</v>
      </c>
      <c r="B114" t="s">
        <v>42</v>
      </c>
      <c r="C114">
        <v>2870</v>
      </c>
      <c r="D114" t="s">
        <v>58</v>
      </c>
    </row>
    <row r="115" spans="1:4" x14ac:dyDescent="0.25">
      <c r="A115" t="s">
        <v>43</v>
      </c>
      <c r="B115" t="s">
        <v>147</v>
      </c>
      <c r="C115">
        <v>2303</v>
      </c>
      <c r="D115" t="s">
        <v>62</v>
      </c>
    </row>
    <row r="116" spans="1:4" x14ac:dyDescent="0.25">
      <c r="A116" t="s">
        <v>43</v>
      </c>
      <c r="B116" t="s">
        <v>148</v>
      </c>
      <c r="C116">
        <v>115</v>
      </c>
      <c r="D116" t="s">
        <v>42</v>
      </c>
    </row>
    <row r="117" spans="1:4" x14ac:dyDescent="0.25">
      <c r="A117" t="s">
        <v>43</v>
      </c>
      <c r="B117" t="s">
        <v>52</v>
      </c>
      <c r="C117">
        <v>431</v>
      </c>
      <c r="D117" t="s">
        <v>67</v>
      </c>
    </row>
    <row r="118" spans="1:4" x14ac:dyDescent="0.25">
      <c r="A118" t="s">
        <v>43</v>
      </c>
      <c r="B118" t="s">
        <v>60</v>
      </c>
      <c r="C118">
        <v>22</v>
      </c>
      <c r="D118" t="s">
        <v>42</v>
      </c>
    </row>
    <row r="119" spans="1:4" x14ac:dyDescent="0.25">
      <c r="A119" t="s">
        <v>149</v>
      </c>
      <c r="B119" t="s">
        <v>42</v>
      </c>
      <c r="C119">
        <v>2976</v>
      </c>
      <c r="D119" t="s">
        <v>58</v>
      </c>
    </row>
    <row r="120" spans="1:4" x14ac:dyDescent="0.25">
      <c r="A120" t="s">
        <v>43</v>
      </c>
      <c r="B120" t="s">
        <v>121</v>
      </c>
      <c r="C120">
        <v>1515</v>
      </c>
      <c r="D120" t="s">
        <v>37</v>
      </c>
    </row>
    <row r="121" spans="1:4" x14ac:dyDescent="0.25">
      <c r="A121" t="s">
        <v>43</v>
      </c>
      <c r="B121" t="s">
        <v>127</v>
      </c>
      <c r="C121">
        <v>1385</v>
      </c>
      <c r="D121" t="s">
        <v>37</v>
      </c>
    </row>
    <row r="122" spans="1:4" x14ac:dyDescent="0.25">
      <c r="A122" t="s">
        <v>43</v>
      </c>
      <c r="B122" t="s">
        <v>122</v>
      </c>
      <c r="C122">
        <v>76</v>
      </c>
      <c r="D122" t="s">
        <v>42</v>
      </c>
    </row>
    <row r="123" spans="1:4" x14ac:dyDescent="0.25">
      <c r="A123" t="s">
        <v>150</v>
      </c>
      <c r="B123" t="s">
        <v>42</v>
      </c>
      <c r="C123">
        <v>1902</v>
      </c>
      <c r="D123" t="s">
        <v>58</v>
      </c>
    </row>
    <row r="124" spans="1:4" x14ac:dyDescent="0.25">
      <c r="A124" t="s">
        <v>43</v>
      </c>
      <c r="B124" t="s">
        <v>240</v>
      </c>
      <c r="C124">
        <v>60</v>
      </c>
      <c r="D124" t="s">
        <v>300</v>
      </c>
    </row>
    <row r="125" spans="1:4" x14ac:dyDescent="0.25">
      <c r="A125" t="s">
        <v>43</v>
      </c>
      <c r="B125" t="s">
        <v>244</v>
      </c>
      <c r="C125">
        <v>1751</v>
      </c>
      <c r="D125" t="s">
        <v>246</v>
      </c>
    </row>
    <row r="126" spans="1:4" x14ac:dyDescent="0.25">
      <c r="A126" t="s">
        <v>43</v>
      </c>
      <c r="B126" t="s">
        <v>241</v>
      </c>
      <c r="C126">
        <v>3</v>
      </c>
      <c r="D126" t="s">
        <v>42</v>
      </c>
    </row>
    <row r="127" spans="1:4" x14ac:dyDescent="0.25">
      <c r="A127" t="s">
        <v>43</v>
      </c>
      <c r="B127" t="s">
        <v>245</v>
      </c>
      <c r="C127">
        <v>88</v>
      </c>
      <c r="D127" t="s">
        <v>42</v>
      </c>
    </row>
    <row r="128" spans="1:4" x14ac:dyDescent="0.25">
      <c r="A128" t="s">
        <v>151</v>
      </c>
      <c r="B128" t="s">
        <v>42</v>
      </c>
      <c r="C128">
        <v>382</v>
      </c>
      <c r="D128" t="s">
        <v>58</v>
      </c>
    </row>
    <row r="129" spans="1:4" x14ac:dyDescent="0.25">
      <c r="A129" t="s">
        <v>43</v>
      </c>
      <c r="B129" t="s">
        <v>124</v>
      </c>
      <c r="C129">
        <v>307</v>
      </c>
      <c r="D129" t="s">
        <v>269</v>
      </c>
    </row>
    <row r="130" spans="1:4" x14ac:dyDescent="0.25">
      <c r="A130" t="s">
        <v>43</v>
      </c>
      <c r="B130" t="s">
        <v>252</v>
      </c>
      <c r="C130">
        <v>15</v>
      </c>
      <c r="D130" t="s">
        <v>42</v>
      </c>
    </row>
    <row r="131" spans="1:4" x14ac:dyDescent="0.25">
      <c r="A131" t="s">
        <v>43</v>
      </c>
      <c r="B131" t="s">
        <v>52</v>
      </c>
      <c r="C131">
        <v>57</v>
      </c>
      <c r="D131" t="s">
        <v>67</v>
      </c>
    </row>
    <row r="132" spans="1:4" x14ac:dyDescent="0.25">
      <c r="A132" t="s">
        <v>43</v>
      </c>
      <c r="B132" t="s">
        <v>60</v>
      </c>
      <c r="C132">
        <v>3</v>
      </c>
      <c r="D132" t="s">
        <v>42</v>
      </c>
    </row>
    <row r="133" spans="1:4" x14ac:dyDescent="0.25">
      <c r="A133" t="s">
        <v>152</v>
      </c>
      <c r="B133" t="s">
        <v>42</v>
      </c>
      <c r="C133">
        <v>2742</v>
      </c>
      <c r="D133" t="s">
        <v>58</v>
      </c>
    </row>
    <row r="134" spans="1:4" x14ac:dyDescent="0.25">
      <c r="A134" t="s">
        <v>43</v>
      </c>
      <c r="B134" t="s">
        <v>138</v>
      </c>
      <c r="C134">
        <v>1892</v>
      </c>
      <c r="D134" t="s">
        <v>57</v>
      </c>
    </row>
    <row r="135" spans="1:4" x14ac:dyDescent="0.25">
      <c r="A135" t="s">
        <v>43</v>
      </c>
      <c r="B135" t="s">
        <v>124</v>
      </c>
      <c r="C135">
        <v>719</v>
      </c>
      <c r="D135" t="s">
        <v>301</v>
      </c>
    </row>
    <row r="136" spans="1:4" x14ac:dyDescent="0.25">
      <c r="A136" t="s">
        <v>43</v>
      </c>
      <c r="B136" t="s">
        <v>153</v>
      </c>
      <c r="C136">
        <v>95</v>
      </c>
      <c r="D136" t="s">
        <v>42</v>
      </c>
    </row>
    <row r="137" spans="1:4" x14ac:dyDescent="0.25">
      <c r="A137" t="s">
        <v>43</v>
      </c>
      <c r="B137" t="s">
        <v>252</v>
      </c>
      <c r="C137">
        <v>36</v>
      </c>
      <c r="D137" t="s">
        <v>42</v>
      </c>
    </row>
    <row r="138" spans="1:4" x14ac:dyDescent="0.25">
      <c r="A138" t="s">
        <v>154</v>
      </c>
      <c r="B138" t="s">
        <v>42</v>
      </c>
      <c r="C138">
        <v>320</v>
      </c>
      <c r="D138" t="s">
        <v>58</v>
      </c>
    </row>
    <row r="139" spans="1:4" x14ac:dyDescent="0.25">
      <c r="A139" t="s">
        <v>43</v>
      </c>
      <c r="B139" t="s">
        <v>145</v>
      </c>
      <c r="C139">
        <v>280</v>
      </c>
      <c r="D139" t="s">
        <v>81</v>
      </c>
    </row>
    <row r="140" spans="1:4" x14ac:dyDescent="0.25">
      <c r="A140" t="s">
        <v>43</v>
      </c>
      <c r="B140" t="s">
        <v>119</v>
      </c>
      <c r="C140">
        <v>24</v>
      </c>
      <c r="D140" t="s">
        <v>302</v>
      </c>
    </row>
    <row r="141" spans="1:4" x14ac:dyDescent="0.25">
      <c r="A141" t="s">
        <v>43</v>
      </c>
      <c r="B141" t="s">
        <v>155</v>
      </c>
      <c r="C141">
        <v>14</v>
      </c>
      <c r="D141" t="s">
        <v>42</v>
      </c>
    </row>
    <row r="142" spans="1:4" x14ac:dyDescent="0.25">
      <c r="A142" t="s">
        <v>43</v>
      </c>
      <c r="B142" t="s">
        <v>143</v>
      </c>
      <c r="C142">
        <v>1</v>
      </c>
      <c r="D142" t="s">
        <v>42</v>
      </c>
    </row>
    <row r="143" spans="1:4" x14ac:dyDescent="0.25">
      <c r="A143" t="s">
        <v>156</v>
      </c>
      <c r="B143" t="s">
        <v>42</v>
      </c>
      <c r="C143">
        <v>1740</v>
      </c>
      <c r="D143" t="s">
        <v>58</v>
      </c>
    </row>
    <row r="144" spans="1:4" x14ac:dyDescent="0.25">
      <c r="A144" t="s">
        <v>43</v>
      </c>
      <c r="B144" t="s">
        <v>247</v>
      </c>
      <c r="C144">
        <v>1250</v>
      </c>
      <c r="D144" t="s">
        <v>286</v>
      </c>
    </row>
    <row r="145" spans="1:4" x14ac:dyDescent="0.25">
      <c r="A145" t="s">
        <v>43</v>
      </c>
      <c r="B145" t="s">
        <v>244</v>
      </c>
      <c r="C145">
        <v>407</v>
      </c>
      <c r="D145" t="s">
        <v>248</v>
      </c>
    </row>
    <row r="146" spans="1:4" x14ac:dyDescent="0.25">
      <c r="A146" t="s">
        <v>43</v>
      </c>
      <c r="B146" t="s">
        <v>249</v>
      </c>
      <c r="C146">
        <v>62</v>
      </c>
      <c r="D146" t="s">
        <v>42</v>
      </c>
    </row>
    <row r="147" spans="1:4" x14ac:dyDescent="0.25">
      <c r="A147" t="s">
        <v>43</v>
      </c>
      <c r="B147" t="s">
        <v>245</v>
      </c>
      <c r="C147">
        <v>20</v>
      </c>
      <c r="D147" t="s">
        <v>42</v>
      </c>
    </row>
    <row r="148" spans="1:4" x14ac:dyDescent="0.25">
      <c r="A148" t="s">
        <v>157</v>
      </c>
      <c r="B148" t="s">
        <v>42</v>
      </c>
      <c r="C148">
        <v>2946</v>
      </c>
      <c r="D148" t="s">
        <v>58</v>
      </c>
    </row>
    <row r="149" spans="1:4" x14ac:dyDescent="0.25">
      <c r="A149" t="s">
        <v>43</v>
      </c>
      <c r="B149" t="s">
        <v>147</v>
      </c>
      <c r="C149">
        <v>2482</v>
      </c>
      <c r="D149" t="s">
        <v>37</v>
      </c>
    </row>
    <row r="150" spans="1:4" x14ac:dyDescent="0.25">
      <c r="A150" t="s">
        <v>43</v>
      </c>
      <c r="B150" t="s">
        <v>52</v>
      </c>
      <c r="C150">
        <v>442</v>
      </c>
      <c r="D150" t="s">
        <v>67</v>
      </c>
    </row>
    <row r="151" spans="1:4" x14ac:dyDescent="0.25">
      <c r="A151" t="s">
        <v>43</v>
      </c>
      <c r="B151" t="s">
        <v>60</v>
      </c>
      <c r="C151">
        <v>22</v>
      </c>
      <c r="D151" t="s">
        <v>42</v>
      </c>
    </row>
    <row r="152" spans="1:4" x14ac:dyDescent="0.25">
      <c r="A152" t="s">
        <v>158</v>
      </c>
      <c r="B152" t="s">
        <v>42</v>
      </c>
      <c r="C152">
        <v>1826</v>
      </c>
      <c r="D152" t="s">
        <v>58</v>
      </c>
    </row>
    <row r="153" spans="1:4" x14ac:dyDescent="0.25">
      <c r="A153" t="s">
        <v>43</v>
      </c>
      <c r="B153" t="s">
        <v>237</v>
      </c>
      <c r="C153">
        <v>988</v>
      </c>
      <c r="D153" t="s">
        <v>37</v>
      </c>
    </row>
    <row r="154" spans="1:4" x14ac:dyDescent="0.25">
      <c r="A154" t="s">
        <v>43</v>
      </c>
      <c r="B154" t="s">
        <v>118</v>
      </c>
      <c r="C154">
        <v>472</v>
      </c>
      <c r="D154" t="s">
        <v>140</v>
      </c>
    </row>
    <row r="155" spans="1:4" x14ac:dyDescent="0.25">
      <c r="A155" t="s">
        <v>43</v>
      </c>
      <c r="B155" t="s">
        <v>119</v>
      </c>
      <c r="C155">
        <v>326</v>
      </c>
      <c r="D155" t="s">
        <v>140</v>
      </c>
    </row>
    <row r="156" spans="1:4" x14ac:dyDescent="0.25">
      <c r="A156" t="s">
        <v>43</v>
      </c>
      <c r="B156" t="s">
        <v>142</v>
      </c>
      <c r="C156">
        <v>24</v>
      </c>
      <c r="D156" t="s">
        <v>42</v>
      </c>
    </row>
    <row r="157" spans="1:4" x14ac:dyDescent="0.25">
      <c r="A157" t="s">
        <v>43</v>
      </c>
      <c r="B157" t="s">
        <v>143</v>
      </c>
      <c r="C157">
        <v>16</v>
      </c>
      <c r="D157" t="s">
        <v>42</v>
      </c>
    </row>
    <row r="158" spans="1:4" x14ac:dyDescent="0.25">
      <c r="A158" t="s">
        <v>159</v>
      </c>
      <c r="B158" t="s">
        <v>42</v>
      </c>
      <c r="C158">
        <v>1505</v>
      </c>
      <c r="D158" t="s">
        <v>58</v>
      </c>
    </row>
    <row r="159" spans="1:4" x14ac:dyDescent="0.25">
      <c r="A159" t="s">
        <v>43</v>
      </c>
      <c r="B159" t="s">
        <v>237</v>
      </c>
      <c r="C159">
        <v>740</v>
      </c>
      <c r="D159" t="s">
        <v>250</v>
      </c>
    </row>
    <row r="160" spans="1:4" x14ac:dyDescent="0.25">
      <c r="A160" t="s">
        <v>43</v>
      </c>
      <c r="B160" t="s">
        <v>106</v>
      </c>
      <c r="C160">
        <v>468</v>
      </c>
      <c r="D160" t="s">
        <v>70</v>
      </c>
    </row>
    <row r="161" spans="1:4" x14ac:dyDescent="0.25">
      <c r="A161" t="s">
        <v>43</v>
      </c>
      <c r="B161" t="s">
        <v>239</v>
      </c>
      <c r="C161">
        <v>37</v>
      </c>
      <c r="D161" t="s">
        <v>42</v>
      </c>
    </row>
    <row r="162" spans="1:4" x14ac:dyDescent="0.25">
      <c r="A162" t="s">
        <v>43</v>
      </c>
      <c r="B162" t="s">
        <v>107</v>
      </c>
      <c r="C162">
        <v>23</v>
      </c>
      <c r="D162" t="s">
        <v>42</v>
      </c>
    </row>
    <row r="163" spans="1:4" x14ac:dyDescent="0.25">
      <c r="A163" t="s">
        <v>43</v>
      </c>
      <c r="B163" t="s">
        <v>52</v>
      </c>
      <c r="C163">
        <v>226</v>
      </c>
      <c r="D163" t="s">
        <v>67</v>
      </c>
    </row>
    <row r="164" spans="1:4" x14ac:dyDescent="0.25">
      <c r="A164" t="s">
        <v>43</v>
      </c>
      <c r="B164" t="s">
        <v>60</v>
      </c>
      <c r="C164">
        <v>11</v>
      </c>
      <c r="D164" t="s">
        <v>42</v>
      </c>
    </row>
    <row r="165" spans="1:4" x14ac:dyDescent="0.25">
      <c r="A165" t="s">
        <v>160</v>
      </c>
      <c r="B165" t="s">
        <v>42</v>
      </c>
      <c r="C165">
        <v>2833</v>
      </c>
      <c r="D165" t="s">
        <v>58</v>
      </c>
    </row>
    <row r="166" spans="1:4" x14ac:dyDescent="0.25">
      <c r="A166" t="s">
        <v>43</v>
      </c>
      <c r="B166" t="s">
        <v>127</v>
      </c>
      <c r="C166">
        <v>596</v>
      </c>
      <c r="D166" t="s">
        <v>71</v>
      </c>
    </row>
    <row r="167" spans="1:4" x14ac:dyDescent="0.25">
      <c r="A167" t="s">
        <v>43</v>
      </c>
      <c r="B167" t="s">
        <v>166</v>
      </c>
      <c r="C167">
        <v>1677</v>
      </c>
      <c r="D167" t="s">
        <v>290</v>
      </c>
    </row>
    <row r="168" spans="1:4" x14ac:dyDescent="0.25">
      <c r="A168" t="s">
        <v>43</v>
      </c>
      <c r="B168" t="s">
        <v>128</v>
      </c>
      <c r="C168">
        <v>30</v>
      </c>
      <c r="D168" t="s">
        <v>42</v>
      </c>
    </row>
    <row r="169" spans="1:4" x14ac:dyDescent="0.25">
      <c r="A169" t="s">
        <v>43</v>
      </c>
      <c r="B169" t="s">
        <v>242</v>
      </c>
      <c r="C169">
        <v>84</v>
      </c>
      <c r="D169" t="s">
        <v>42</v>
      </c>
    </row>
    <row r="170" spans="1:4" x14ac:dyDescent="0.25">
      <c r="A170" t="s">
        <v>43</v>
      </c>
      <c r="B170" t="s">
        <v>52</v>
      </c>
      <c r="C170">
        <v>425</v>
      </c>
      <c r="D170" t="s">
        <v>67</v>
      </c>
    </row>
    <row r="171" spans="1:4" x14ac:dyDescent="0.25">
      <c r="A171" t="s">
        <v>43</v>
      </c>
      <c r="B171" t="s">
        <v>60</v>
      </c>
      <c r="C171">
        <v>21</v>
      </c>
      <c r="D171" t="s">
        <v>42</v>
      </c>
    </row>
    <row r="172" spans="1:4" x14ac:dyDescent="0.25">
      <c r="A172" t="s">
        <v>161</v>
      </c>
      <c r="B172" t="s">
        <v>42</v>
      </c>
      <c r="C172">
        <v>578</v>
      </c>
      <c r="D172" t="s">
        <v>58</v>
      </c>
    </row>
    <row r="173" spans="1:4" x14ac:dyDescent="0.25">
      <c r="A173" t="s">
        <v>43</v>
      </c>
      <c r="B173" t="s">
        <v>240</v>
      </c>
      <c r="C173">
        <v>533</v>
      </c>
      <c r="D173" t="s">
        <v>291</v>
      </c>
    </row>
    <row r="174" spans="1:4" x14ac:dyDescent="0.25">
      <c r="A174" t="s">
        <v>43</v>
      </c>
      <c r="B174" t="s">
        <v>241</v>
      </c>
      <c r="C174">
        <v>27</v>
      </c>
      <c r="D174" t="s">
        <v>42</v>
      </c>
    </row>
    <row r="175" spans="1:4" x14ac:dyDescent="0.25">
      <c r="A175" t="s">
        <v>43</v>
      </c>
      <c r="B175" t="s">
        <v>52</v>
      </c>
      <c r="C175">
        <v>17</v>
      </c>
      <c r="D175" t="s">
        <v>67</v>
      </c>
    </row>
    <row r="176" spans="1:4" x14ac:dyDescent="0.25">
      <c r="A176" t="s">
        <v>43</v>
      </c>
      <c r="B176" t="s">
        <v>60</v>
      </c>
      <c r="C176">
        <v>1</v>
      </c>
      <c r="D176" t="s">
        <v>42</v>
      </c>
    </row>
    <row r="177" spans="1:4" x14ac:dyDescent="0.25">
      <c r="A177" t="s">
        <v>162</v>
      </c>
      <c r="B177" t="s">
        <v>42</v>
      </c>
      <c r="C177">
        <v>388</v>
      </c>
      <c r="D177" t="s">
        <v>58</v>
      </c>
    </row>
    <row r="178" spans="1:4" x14ac:dyDescent="0.25">
      <c r="A178" t="s">
        <v>43</v>
      </c>
      <c r="B178" t="s">
        <v>237</v>
      </c>
      <c r="C178">
        <v>311</v>
      </c>
      <c r="D178" t="s">
        <v>65</v>
      </c>
    </row>
    <row r="179" spans="1:4" x14ac:dyDescent="0.25">
      <c r="A179" t="s">
        <v>43</v>
      </c>
      <c r="B179" t="s">
        <v>239</v>
      </c>
      <c r="C179">
        <v>16</v>
      </c>
      <c r="D179" t="s">
        <v>42</v>
      </c>
    </row>
    <row r="180" spans="1:4" x14ac:dyDescent="0.25">
      <c r="A180" t="s">
        <v>43</v>
      </c>
      <c r="B180" t="s">
        <v>52</v>
      </c>
      <c r="C180">
        <v>58</v>
      </c>
      <c r="D180" t="s">
        <v>67</v>
      </c>
    </row>
    <row r="181" spans="1:4" x14ac:dyDescent="0.25">
      <c r="A181" t="s">
        <v>43</v>
      </c>
      <c r="B181" t="s">
        <v>60</v>
      </c>
      <c r="C181">
        <v>3</v>
      </c>
      <c r="D181" t="s">
        <v>42</v>
      </c>
    </row>
    <row r="182" spans="1:4" x14ac:dyDescent="0.25">
      <c r="A182" t="s">
        <v>163</v>
      </c>
      <c r="B182" t="s">
        <v>42</v>
      </c>
      <c r="C182">
        <v>2905</v>
      </c>
      <c r="D182" t="s">
        <v>58</v>
      </c>
    </row>
    <row r="183" spans="1:4" x14ac:dyDescent="0.25">
      <c r="A183" t="s">
        <v>43</v>
      </c>
      <c r="B183" t="s">
        <v>111</v>
      </c>
      <c r="C183">
        <v>2447</v>
      </c>
      <c r="D183" t="s">
        <v>37</v>
      </c>
    </row>
    <row r="184" spans="1:4" x14ac:dyDescent="0.25">
      <c r="A184" t="s">
        <v>43</v>
      </c>
      <c r="B184" t="s">
        <v>52</v>
      </c>
      <c r="C184">
        <v>436</v>
      </c>
      <c r="D184" t="s">
        <v>67</v>
      </c>
    </row>
    <row r="185" spans="1:4" x14ac:dyDescent="0.25">
      <c r="A185" t="s">
        <v>43</v>
      </c>
      <c r="B185" t="s">
        <v>60</v>
      </c>
      <c r="C185">
        <v>22</v>
      </c>
      <c r="D185" t="s">
        <v>42</v>
      </c>
    </row>
    <row r="186" spans="1:4" x14ac:dyDescent="0.25">
      <c r="A186" t="s">
        <v>164</v>
      </c>
      <c r="B186" t="s">
        <v>42</v>
      </c>
      <c r="C186">
        <v>1937</v>
      </c>
      <c r="D186" t="s">
        <v>58</v>
      </c>
    </row>
    <row r="187" spans="1:4" x14ac:dyDescent="0.25">
      <c r="A187" t="s">
        <v>43</v>
      </c>
      <c r="B187" t="s">
        <v>147</v>
      </c>
      <c r="C187">
        <v>73</v>
      </c>
      <c r="D187" t="s">
        <v>275</v>
      </c>
    </row>
    <row r="188" spans="1:4" x14ac:dyDescent="0.25">
      <c r="A188" t="s">
        <v>43</v>
      </c>
      <c r="B188" t="s">
        <v>121</v>
      </c>
      <c r="C188">
        <v>597</v>
      </c>
      <c r="D188" t="s">
        <v>270</v>
      </c>
    </row>
    <row r="189" spans="1:4" x14ac:dyDescent="0.25">
      <c r="A189" t="s">
        <v>43</v>
      </c>
      <c r="B189" t="s">
        <v>244</v>
      </c>
      <c r="C189">
        <v>1175</v>
      </c>
      <c r="D189" t="s">
        <v>264</v>
      </c>
    </row>
    <row r="190" spans="1:4" x14ac:dyDescent="0.25">
      <c r="A190" t="s">
        <v>43</v>
      </c>
      <c r="B190" t="s">
        <v>148</v>
      </c>
      <c r="C190">
        <v>4</v>
      </c>
      <c r="D190" t="s">
        <v>42</v>
      </c>
    </row>
    <row r="191" spans="1:4" x14ac:dyDescent="0.25">
      <c r="A191" t="s">
        <v>43</v>
      </c>
      <c r="B191" t="s">
        <v>122</v>
      </c>
      <c r="C191">
        <v>30</v>
      </c>
      <c r="D191" t="s">
        <v>42</v>
      </c>
    </row>
    <row r="192" spans="1:4" x14ac:dyDescent="0.25">
      <c r="A192" t="s">
        <v>43</v>
      </c>
      <c r="B192" t="s">
        <v>245</v>
      </c>
      <c r="C192">
        <v>59</v>
      </c>
      <c r="D192" t="s">
        <v>42</v>
      </c>
    </row>
    <row r="193" spans="1:4" x14ac:dyDescent="0.25">
      <c r="A193" t="s">
        <v>165</v>
      </c>
      <c r="B193" t="s">
        <v>42</v>
      </c>
      <c r="C193">
        <v>1471</v>
      </c>
      <c r="D193" t="s">
        <v>58</v>
      </c>
    </row>
    <row r="194" spans="1:4" x14ac:dyDescent="0.25">
      <c r="A194" t="s">
        <v>43</v>
      </c>
      <c r="B194" t="s">
        <v>166</v>
      </c>
      <c r="C194">
        <v>1239</v>
      </c>
      <c r="D194" t="s">
        <v>37</v>
      </c>
    </row>
    <row r="195" spans="1:4" x14ac:dyDescent="0.25">
      <c r="A195" t="s">
        <v>43</v>
      </c>
      <c r="B195" t="s">
        <v>52</v>
      </c>
      <c r="C195">
        <v>221</v>
      </c>
      <c r="D195" t="s">
        <v>67</v>
      </c>
    </row>
    <row r="196" spans="1:4" x14ac:dyDescent="0.25">
      <c r="A196" t="s">
        <v>43</v>
      </c>
      <c r="B196" t="s">
        <v>60</v>
      </c>
      <c r="C196">
        <v>11</v>
      </c>
      <c r="D196" t="s">
        <v>42</v>
      </c>
    </row>
    <row r="197" spans="1:4" x14ac:dyDescent="0.25">
      <c r="A197" t="s">
        <v>167</v>
      </c>
      <c r="B197" t="s">
        <v>42</v>
      </c>
      <c r="C197">
        <v>829</v>
      </c>
      <c r="D197" t="s">
        <v>58</v>
      </c>
    </row>
    <row r="198" spans="1:4" x14ac:dyDescent="0.25">
      <c r="A198" t="s">
        <v>43</v>
      </c>
      <c r="B198" t="s">
        <v>138</v>
      </c>
      <c r="C198">
        <v>665</v>
      </c>
      <c r="D198" t="s">
        <v>168</v>
      </c>
    </row>
    <row r="199" spans="1:4" x14ac:dyDescent="0.25">
      <c r="A199" t="s">
        <v>43</v>
      </c>
      <c r="B199" t="s">
        <v>153</v>
      </c>
      <c r="C199">
        <v>33</v>
      </c>
      <c r="D199" t="s">
        <v>42</v>
      </c>
    </row>
    <row r="200" spans="1:4" x14ac:dyDescent="0.25">
      <c r="A200" t="s">
        <v>43</v>
      </c>
      <c r="B200" t="s">
        <v>52</v>
      </c>
      <c r="C200">
        <v>124</v>
      </c>
      <c r="D200" t="s">
        <v>67</v>
      </c>
    </row>
    <row r="201" spans="1:4" x14ac:dyDescent="0.25">
      <c r="A201" t="s">
        <v>43</v>
      </c>
      <c r="B201" t="s">
        <v>60</v>
      </c>
      <c r="C201">
        <v>6</v>
      </c>
      <c r="D201" t="s">
        <v>42</v>
      </c>
    </row>
    <row r="202" spans="1:4" x14ac:dyDescent="0.25">
      <c r="A202" t="s">
        <v>251</v>
      </c>
      <c r="B202" t="s">
        <v>42</v>
      </c>
      <c r="C202">
        <v>748</v>
      </c>
      <c r="D202" t="s">
        <v>58</v>
      </c>
    </row>
    <row r="203" spans="1:4" x14ac:dyDescent="0.25">
      <c r="A203" t="s">
        <v>43</v>
      </c>
      <c r="B203" t="s">
        <v>138</v>
      </c>
      <c r="C203">
        <v>600</v>
      </c>
      <c r="D203" t="s">
        <v>271</v>
      </c>
    </row>
    <row r="204" spans="1:4" x14ac:dyDescent="0.25">
      <c r="A204" t="s">
        <v>43</v>
      </c>
      <c r="B204" t="s">
        <v>153</v>
      </c>
      <c r="C204">
        <v>30</v>
      </c>
      <c r="D204" t="s">
        <v>42</v>
      </c>
    </row>
    <row r="205" spans="1:4" x14ac:dyDescent="0.25">
      <c r="A205" t="s">
        <v>43</v>
      </c>
      <c r="B205" t="s">
        <v>52</v>
      </c>
      <c r="C205">
        <v>112</v>
      </c>
      <c r="D205" t="s">
        <v>67</v>
      </c>
    </row>
    <row r="206" spans="1:4" x14ac:dyDescent="0.25">
      <c r="A206" t="s">
        <v>43</v>
      </c>
      <c r="B206" t="s">
        <v>60</v>
      </c>
      <c r="C206">
        <v>6</v>
      </c>
      <c r="D206" t="s">
        <v>42</v>
      </c>
    </row>
    <row r="207" spans="1:4" x14ac:dyDescent="0.25">
      <c r="A207" t="s">
        <v>169</v>
      </c>
      <c r="B207" t="s">
        <v>42</v>
      </c>
      <c r="C207">
        <v>3143</v>
      </c>
      <c r="D207" t="s">
        <v>58</v>
      </c>
    </row>
    <row r="208" spans="1:4" x14ac:dyDescent="0.25">
      <c r="A208" t="s">
        <v>43</v>
      </c>
      <c r="B208" t="s">
        <v>147</v>
      </c>
      <c r="C208">
        <v>52</v>
      </c>
      <c r="D208" t="s">
        <v>303</v>
      </c>
    </row>
    <row r="209" spans="1:4" x14ac:dyDescent="0.25">
      <c r="A209" t="s">
        <v>43</v>
      </c>
      <c r="B209" t="s">
        <v>121</v>
      </c>
      <c r="C209">
        <v>426</v>
      </c>
      <c r="D209" t="s">
        <v>287</v>
      </c>
    </row>
    <row r="210" spans="1:4" x14ac:dyDescent="0.25">
      <c r="A210" t="s">
        <v>43</v>
      </c>
      <c r="B210" t="s">
        <v>240</v>
      </c>
      <c r="C210">
        <v>1811</v>
      </c>
      <c r="D210" t="s">
        <v>253</v>
      </c>
    </row>
    <row r="211" spans="1:4" x14ac:dyDescent="0.25">
      <c r="A211" t="s">
        <v>43</v>
      </c>
      <c r="B211" t="s">
        <v>244</v>
      </c>
      <c r="C211">
        <v>233</v>
      </c>
      <c r="D211" t="s">
        <v>279</v>
      </c>
    </row>
    <row r="212" spans="1:4" x14ac:dyDescent="0.25">
      <c r="A212" t="s">
        <v>43</v>
      </c>
      <c r="B212" t="s">
        <v>148</v>
      </c>
      <c r="C212">
        <v>3</v>
      </c>
      <c r="D212" t="s">
        <v>42</v>
      </c>
    </row>
    <row r="213" spans="1:4" x14ac:dyDescent="0.25">
      <c r="A213" t="s">
        <v>43</v>
      </c>
      <c r="B213" t="s">
        <v>122</v>
      </c>
      <c r="C213">
        <v>21</v>
      </c>
      <c r="D213" t="s">
        <v>42</v>
      </c>
    </row>
    <row r="214" spans="1:4" x14ac:dyDescent="0.25">
      <c r="A214" t="s">
        <v>43</v>
      </c>
      <c r="B214" t="s">
        <v>241</v>
      </c>
      <c r="C214">
        <v>91</v>
      </c>
      <c r="D214" t="s">
        <v>42</v>
      </c>
    </row>
    <row r="215" spans="1:4" x14ac:dyDescent="0.25">
      <c r="A215" t="s">
        <v>43</v>
      </c>
      <c r="B215" t="s">
        <v>245</v>
      </c>
      <c r="C215">
        <v>12</v>
      </c>
      <c r="D215" t="s">
        <v>42</v>
      </c>
    </row>
    <row r="216" spans="1:4" x14ac:dyDescent="0.25">
      <c r="A216" t="s">
        <v>43</v>
      </c>
      <c r="B216" t="s">
        <v>52</v>
      </c>
      <c r="C216">
        <v>471</v>
      </c>
      <c r="D216" t="s">
        <v>67</v>
      </c>
    </row>
    <row r="217" spans="1:4" x14ac:dyDescent="0.25">
      <c r="A217" t="s">
        <v>43</v>
      </c>
      <c r="B217" t="s">
        <v>60</v>
      </c>
      <c r="C217">
        <v>24</v>
      </c>
      <c r="D217" t="s">
        <v>42</v>
      </c>
    </row>
    <row r="218" spans="1:4" x14ac:dyDescent="0.25">
      <c r="A218" t="s">
        <v>170</v>
      </c>
      <c r="B218" t="s">
        <v>42</v>
      </c>
      <c r="C218">
        <v>2086</v>
      </c>
      <c r="D218" t="s">
        <v>58</v>
      </c>
    </row>
    <row r="219" spans="1:4" x14ac:dyDescent="0.25">
      <c r="A219" t="s">
        <v>43</v>
      </c>
      <c r="B219" t="s">
        <v>240</v>
      </c>
      <c r="C219">
        <v>1757</v>
      </c>
      <c r="D219" t="s">
        <v>37</v>
      </c>
    </row>
    <row r="220" spans="1:4" x14ac:dyDescent="0.25">
      <c r="A220" t="s">
        <v>43</v>
      </c>
      <c r="B220" t="s">
        <v>52</v>
      </c>
      <c r="C220">
        <v>313</v>
      </c>
      <c r="D220" t="s">
        <v>67</v>
      </c>
    </row>
    <row r="221" spans="1:4" x14ac:dyDescent="0.25">
      <c r="A221" t="s">
        <v>43</v>
      </c>
      <c r="B221" t="s">
        <v>60</v>
      </c>
      <c r="C221">
        <v>16</v>
      </c>
      <c r="D221" t="s">
        <v>42</v>
      </c>
    </row>
    <row r="222" spans="1:4" x14ac:dyDescent="0.25">
      <c r="A222" t="s">
        <v>254</v>
      </c>
      <c r="B222" t="s">
        <v>42</v>
      </c>
      <c r="C222">
        <v>750</v>
      </c>
      <c r="D222" t="s">
        <v>58</v>
      </c>
    </row>
    <row r="223" spans="1:4" x14ac:dyDescent="0.25">
      <c r="A223" t="s">
        <v>43</v>
      </c>
      <c r="B223" t="s">
        <v>247</v>
      </c>
      <c r="C223">
        <v>632</v>
      </c>
      <c r="D223" t="s">
        <v>37</v>
      </c>
    </row>
    <row r="224" spans="1:4" x14ac:dyDescent="0.25">
      <c r="A224" t="s">
        <v>43</v>
      </c>
      <c r="B224" t="s">
        <v>52</v>
      </c>
      <c r="C224">
        <v>113</v>
      </c>
      <c r="D224" t="s">
        <v>67</v>
      </c>
    </row>
    <row r="225" spans="1:4" x14ac:dyDescent="0.25">
      <c r="A225" t="s">
        <v>43</v>
      </c>
      <c r="B225" t="s">
        <v>60</v>
      </c>
      <c r="C225">
        <v>6</v>
      </c>
      <c r="D225" t="s">
        <v>42</v>
      </c>
    </row>
    <row r="226" spans="1:4" x14ac:dyDescent="0.25">
      <c r="A226" t="s">
        <v>171</v>
      </c>
      <c r="B226" t="s">
        <v>42</v>
      </c>
      <c r="C226">
        <v>2677</v>
      </c>
      <c r="D226" t="s">
        <v>58</v>
      </c>
    </row>
    <row r="227" spans="1:4" x14ac:dyDescent="0.25">
      <c r="A227" t="s">
        <v>43</v>
      </c>
      <c r="B227" t="s">
        <v>244</v>
      </c>
      <c r="C227">
        <v>2255</v>
      </c>
      <c r="D227" t="s">
        <v>37</v>
      </c>
    </row>
    <row r="228" spans="1:4" x14ac:dyDescent="0.25">
      <c r="A228" t="s">
        <v>43</v>
      </c>
      <c r="B228" t="s">
        <v>52</v>
      </c>
      <c r="C228">
        <v>402</v>
      </c>
      <c r="D228" t="s">
        <v>67</v>
      </c>
    </row>
    <row r="229" spans="1:4" x14ac:dyDescent="0.25">
      <c r="A229" t="s">
        <v>43</v>
      </c>
      <c r="B229" t="s">
        <v>60</v>
      </c>
      <c r="C229">
        <v>20</v>
      </c>
      <c r="D229" t="s">
        <v>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113"/>
  <sheetViews>
    <sheetView topLeftCell="A64" workbookViewId="0">
      <selection activeCell="C3" sqref="C3:C7"/>
    </sheetView>
  </sheetViews>
  <sheetFormatPr defaultRowHeight="15" x14ac:dyDescent="0.25"/>
  <cols>
    <col min="1" max="1" width="19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44</v>
      </c>
      <c r="B1" t="s">
        <v>86</v>
      </c>
      <c r="C1" t="s">
        <v>87</v>
      </c>
      <c r="D1" t="s">
        <v>58</v>
      </c>
    </row>
    <row r="2" spans="1:4" x14ac:dyDescent="0.25">
      <c r="A2" t="s">
        <v>172</v>
      </c>
      <c r="B2" t="s">
        <v>42</v>
      </c>
      <c r="C2">
        <v>3000</v>
      </c>
      <c r="D2" t="s">
        <v>58</v>
      </c>
    </row>
    <row r="3" spans="1:4" x14ac:dyDescent="0.25">
      <c r="A3" t="s">
        <v>43</v>
      </c>
      <c r="B3" t="s">
        <v>173</v>
      </c>
      <c r="C3">
        <v>1465</v>
      </c>
      <c r="D3" t="s">
        <v>37</v>
      </c>
    </row>
    <row r="4" spans="1:4" x14ac:dyDescent="0.25">
      <c r="A4" t="s">
        <v>43</v>
      </c>
      <c r="B4" t="s">
        <v>174</v>
      </c>
      <c r="C4">
        <v>785</v>
      </c>
      <c r="D4" t="s">
        <v>80</v>
      </c>
    </row>
    <row r="5" spans="1:4" x14ac:dyDescent="0.25">
      <c r="A5" t="s">
        <v>43</v>
      </c>
      <c r="B5" t="s">
        <v>52</v>
      </c>
      <c r="C5">
        <v>600</v>
      </c>
      <c r="D5" t="s">
        <v>67</v>
      </c>
    </row>
    <row r="6" spans="1:4" x14ac:dyDescent="0.25">
      <c r="A6" t="s">
        <v>43</v>
      </c>
      <c r="B6" t="s">
        <v>53</v>
      </c>
      <c r="C6">
        <v>150</v>
      </c>
      <c r="D6" t="s">
        <v>68</v>
      </c>
    </row>
    <row r="7" spans="1:4" x14ac:dyDescent="0.25">
      <c r="A7" t="s">
        <v>176</v>
      </c>
      <c r="B7" t="s">
        <v>42</v>
      </c>
      <c r="C7">
        <v>3000</v>
      </c>
      <c r="D7" t="s">
        <v>58</v>
      </c>
    </row>
    <row r="8" spans="1:4" x14ac:dyDescent="0.25">
      <c r="A8" t="s">
        <v>43</v>
      </c>
      <c r="B8" t="s">
        <v>217</v>
      </c>
      <c r="C8">
        <v>100</v>
      </c>
      <c r="D8" t="s">
        <v>297</v>
      </c>
    </row>
    <row r="9" spans="1:4" x14ac:dyDescent="0.25">
      <c r="A9" t="s">
        <v>43</v>
      </c>
      <c r="B9" t="s">
        <v>177</v>
      </c>
      <c r="C9">
        <v>1000</v>
      </c>
      <c r="D9" t="s">
        <v>37</v>
      </c>
    </row>
    <row r="10" spans="1:4" x14ac:dyDescent="0.25">
      <c r="A10" t="s">
        <v>43</v>
      </c>
      <c r="B10" t="s">
        <v>136</v>
      </c>
      <c r="C10">
        <v>1150</v>
      </c>
      <c r="D10" t="s">
        <v>243</v>
      </c>
    </row>
    <row r="11" spans="1:4" x14ac:dyDescent="0.25">
      <c r="A11" t="s">
        <v>43</v>
      </c>
      <c r="B11" t="s">
        <v>52</v>
      </c>
      <c r="C11">
        <v>600</v>
      </c>
      <c r="D11" t="s">
        <v>67</v>
      </c>
    </row>
    <row r="12" spans="1:4" x14ac:dyDescent="0.25">
      <c r="A12" t="s">
        <v>43</v>
      </c>
      <c r="B12" t="s">
        <v>53</v>
      </c>
      <c r="C12">
        <v>150</v>
      </c>
      <c r="D12" t="s">
        <v>68</v>
      </c>
    </row>
    <row r="13" spans="1:4" x14ac:dyDescent="0.25">
      <c r="A13" t="s">
        <v>179</v>
      </c>
      <c r="B13" t="s">
        <v>42</v>
      </c>
      <c r="C13">
        <v>6000</v>
      </c>
      <c r="D13" t="s">
        <v>58</v>
      </c>
    </row>
    <row r="14" spans="1:4" x14ac:dyDescent="0.25">
      <c r="A14" t="s">
        <v>43</v>
      </c>
      <c r="B14" t="s">
        <v>202</v>
      </c>
      <c r="C14">
        <v>1064</v>
      </c>
      <c r="D14" t="s">
        <v>284</v>
      </c>
    </row>
    <row r="15" spans="1:4" x14ac:dyDescent="0.25">
      <c r="A15" t="s">
        <v>43</v>
      </c>
      <c r="B15" t="s">
        <v>136</v>
      </c>
      <c r="C15">
        <v>514</v>
      </c>
      <c r="D15" t="s">
        <v>278</v>
      </c>
    </row>
    <row r="16" spans="1:4" x14ac:dyDescent="0.25">
      <c r="A16" t="s">
        <v>43</v>
      </c>
      <c r="B16" t="s">
        <v>180</v>
      </c>
      <c r="C16">
        <v>935</v>
      </c>
      <c r="D16" t="s">
        <v>37</v>
      </c>
    </row>
    <row r="17" spans="1:4" x14ac:dyDescent="0.25">
      <c r="A17" t="s">
        <v>43</v>
      </c>
      <c r="B17" t="s">
        <v>181</v>
      </c>
      <c r="C17">
        <v>1987</v>
      </c>
      <c r="D17" t="s">
        <v>57</v>
      </c>
    </row>
    <row r="18" spans="1:4" x14ac:dyDescent="0.25">
      <c r="A18" t="s">
        <v>43</v>
      </c>
      <c r="B18" t="s">
        <v>52</v>
      </c>
      <c r="C18">
        <v>1200</v>
      </c>
      <c r="D18" t="s">
        <v>67</v>
      </c>
    </row>
    <row r="19" spans="1:4" x14ac:dyDescent="0.25">
      <c r="A19" t="s">
        <v>43</v>
      </c>
      <c r="B19" t="s">
        <v>53</v>
      </c>
      <c r="C19">
        <v>300</v>
      </c>
      <c r="D19" t="s">
        <v>68</v>
      </c>
    </row>
    <row r="20" spans="1:4" x14ac:dyDescent="0.25">
      <c r="A20" t="s">
        <v>256</v>
      </c>
      <c r="B20" t="s">
        <v>42</v>
      </c>
      <c r="C20">
        <v>3000</v>
      </c>
      <c r="D20" t="s">
        <v>58</v>
      </c>
    </row>
    <row r="21" spans="1:4" x14ac:dyDescent="0.25">
      <c r="A21" t="s">
        <v>43</v>
      </c>
      <c r="B21" t="s">
        <v>218</v>
      </c>
      <c r="C21">
        <v>379</v>
      </c>
      <c r="D21" t="s">
        <v>263</v>
      </c>
    </row>
    <row r="22" spans="1:4" x14ac:dyDescent="0.25">
      <c r="A22" t="s">
        <v>43</v>
      </c>
      <c r="B22" t="s">
        <v>207</v>
      </c>
      <c r="C22">
        <v>767</v>
      </c>
      <c r="D22" t="s">
        <v>37</v>
      </c>
    </row>
    <row r="23" spans="1:4" x14ac:dyDescent="0.25">
      <c r="A23" t="s">
        <v>43</v>
      </c>
      <c r="B23" t="s">
        <v>220</v>
      </c>
      <c r="C23">
        <v>777</v>
      </c>
      <c r="D23" t="s">
        <v>250</v>
      </c>
    </row>
    <row r="24" spans="1:4" x14ac:dyDescent="0.25">
      <c r="A24" t="s">
        <v>43</v>
      </c>
      <c r="B24" t="s">
        <v>208</v>
      </c>
      <c r="C24">
        <v>327</v>
      </c>
      <c r="D24" t="s">
        <v>65</v>
      </c>
    </row>
    <row r="25" spans="1:4" x14ac:dyDescent="0.25">
      <c r="A25" t="s">
        <v>43</v>
      </c>
      <c r="B25" t="s">
        <v>52</v>
      </c>
      <c r="C25">
        <v>600</v>
      </c>
      <c r="D25" t="s">
        <v>67</v>
      </c>
    </row>
    <row r="26" spans="1:4" x14ac:dyDescent="0.25">
      <c r="A26" t="s">
        <v>43</v>
      </c>
      <c r="B26" t="s">
        <v>53</v>
      </c>
      <c r="C26">
        <v>150</v>
      </c>
      <c r="D26" t="s">
        <v>68</v>
      </c>
    </row>
    <row r="27" spans="1:4" x14ac:dyDescent="0.25">
      <c r="A27" t="s">
        <v>183</v>
      </c>
      <c r="B27" t="s">
        <v>42</v>
      </c>
      <c r="C27">
        <v>3000</v>
      </c>
      <c r="D27" t="s">
        <v>58</v>
      </c>
    </row>
    <row r="28" spans="1:4" x14ac:dyDescent="0.25">
      <c r="A28" t="s">
        <v>43</v>
      </c>
      <c r="B28" t="s">
        <v>184</v>
      </c>
      <c r="C28">
        <v>1896</v>
      </c>
      <c r="D28" t="s">
        <v>37</v>
      </c>
    </row>
    <row r="29" spans="1:4" x14ac:dyDescent="0.25">
      <c r="A29" t="s">
        <v>43</v>
      </c>
      <c r="B29" t="s">
        <v>185</v>
      </c>
      <c r="C29">
        <v>354</v>
      </c>
      <c r="D29" t="s">
        <v>61</v>
      </c>
    </row>
    <row r="30" spans="1:4" x14ac:dyDescent="0.25">
      <c r="A30" t="s">
        <v>43</v>
      </c>
      <c r="B30" t="s">
        <v>52</v>
      </c>
      <c r="C30">
        <v>600</v>
      </c>
      <c r="D30" t="s">
        <v>67</v>
      </c>
    </row>
    <row r="31" spans="1:4" x14ac:dyDescent="0.25">
      <c r="A31" t="s">
        <v>43</v>
      </c>
      <c r="B31" t="s">
        <v>53</v>
      </c>
      <c r="C31">
        <v>150</v>
      </c>
      <c r="D31" t="s">
        <v>68</v>
      </c>
    </row>
    <row r="32" spans="1:4" x14ac:dyDescent="0.25">
      <c r="A32" t="s">
        <v>186</v>
      </c>
      <c r="B32" t="s">
        <v>42</v>
      </c>
      <c r="C32">
        <v>3000</v>
      </c>
      <c r="D32" t="s">
        <v>58</v>
      </c>
    </row>
    <row r="33" spans="1:4" x14ac:dyDescent="0.25">
      <c r="A33" t="s">
        <v>43</v>
      </c>
      <c r="B33" t="s">
        <v>215</v>
      </c>
      <c r="C33">
        <v>210</v>
      </c>
      <c r="D33" t="s">
        <v>288</v>
      </c>
    </row>
    <row r="34" spans="1:4" x14ac:dyDescent="0.25">
      <c r="A34" t="s">
        <v>43</v>
      </c>
      <c r="B34" t="s">
        <v>187</v>
      </c>
      <c r="C34">
        <v>1745</v>
      </c>
      <c r="D34" t="s">
        <v>37</v>
      </c>
    </row>
    <row r="35" spans="1:4" x14ac:dyDescent="0.25">
      <c r="A35" t="s">
        <v>43</v>
      </c>
      <c r="B35" t="s">
        <v>222</v>
      </c>
      <c r="C35">
        <v>294</v>
      </c>
      <c r="D35" t="s">
        <v>81</v>
      </c>
    </row>
    <row r="36" spans="1:4" x14ac:dyDescent="0.25">
      <c r="A36" t="s">
        <v>43</v>
      </c>
      <c r="B36" t="s">
        <v>52</v>
      </c>
      <c r="C36">
        <v>600</v>
      </c>
      <c r="D36" t="s">
        <v>67</v>
      </c>
    </row>
    <row r="37" spans="1:4" x14ac:dyDescent="0.25">
      <c r="A37" t="s">
        <v>43</v>
      </c>
      <c r="B37" t="s">
        <v>53</v>
      </c>
      <c r="C37">
        <v>150</v>
      </c>
      <c r="D37" t="s">
        <v>68</v>
      </c>
    </row>
    <row r="38" spans="1:4" x14ac:dyDescent="0.25">
      <c r="A38" t="s">
        <v>188</v>
      </c>
      <c r="B38" t="s">
        <v>42</v>
      </c>
      <c r="C38">
        <v>6000</v>
      </c>
      <c r="D38" t="s">
        <v>58</v>
      </c>
    </row>
    <row r="39" spans="1:4" x14ac:dyDescent="0.25">
      <c r="A39" t="s">
        <v>43</v>
      </c>
      <c r="B39" t="s">
        <v>189</v>
      </c>
      <c r="C39">
        <v>2018</v>
      </c>
      <c r="D39" t="s">
        <v>62</v>
      </c>
    </row>
    <row r="40" spans="1:4" x14ac:dyDescent="0.25">
      <c r="A40" t="s">
        <v>43</v>
      </c>
      <c r="B40" t="s">
        <v>190</v>
      </c>
      <c r="C40">
        <v>2482</v>
      </c>
      <c r="D40" t="s">
        <v>37</v>
      </c>
    </row>
    <row r="41" spans="1:4" x14ac:dyDescent="0.25">
      <c r="A41" t="s">
        <v>43</v>
      </c>
      <c r="B41" t="s">
        <v>52</v>
      </c>
      <c r="C41">
        <v>1200</v>
      </c>
      <c r="D41" t="s">
        <v>67</v>
      </c>
    </row>
    <row r="42" spans="1:4" x14ac:dyDescent="0.25">
      <c r="A42" t="s">
        <v>43</v>
      </c>
      <c r="B42" t="s">
        <v>53</v>
      </c>
      <c r="C42">
        <v>300</v>
      </c>
      <c r="D42" t="s">
        <v>68</v>
      </c>
    </row>
    <row r="43" spans="1:4" x14ac:dyDescent="0.25">
      <c r="A43" t="s">
        <v>191</v>
      </c>
      <c r="B43" t="s">
        <v>42</v>
      </c>
      <c r="C43">
        <v>6000</v>
      </c>
      <c r="D43" t="s">
        <v>58</v>
      </c>
    </row>
    <row r="44" spans="1:4" x14ac:dyDescent="0.25">
      <c r="A44" t="s">
        <v>43</v>
      </c>
      <c r="B44" t="s">
        <v>192</v>
      </c>
      <c r="C44">
        <v>2197</v>
      </c>
      <c r="D44" t="s">
        <v>65</v>
      </c>
    </row>
    <row r="45" spans="1:4" x14ac:dyDescent="0.25">
      <c r="A45" t="s">
        <v>43</v>
      </c>
      <c r="B45" t="s">
        <v>193</v>
      </c>
      <c r="C45">
        <v>1137</v>
      </c>
      <c r="D45" t="s">
        <v>140</v>
      </c>
    </row>
    <row r="46" spans="1:4" x14ac:dyDescent="0.25">
      <c r="A46" t="s">
        <v>43</v>
      </c>
      <c r="B46" t="s">
        <v>194</v>
      </c>
      <c r="C46">
        <v>91</v>
      </c>
      <c r="D46" t="s">
        <v>37</v>
      </c>
    </row>
    <row r="47" spans="1:4" x14ac:dyDescent="0.25">
      <c r="A47" t="s">
        <v>43</v>
      </c>
      <c r="B47" t="s">
        <v>197</v>
      </c>
      <c r="C47">
        <v>627</v>
      </c>
      <c r="D47" t="s">
        <v>270</v>
      </c>
    </row>
    <row r="48" spans="1:4" x14ac:dyDescent="0.25">
      <c r="A48" t="s">
        <v>43</v>
      </c>
      <c r="B48" t="s">
        <v>209</v>
      </c>
      <c r="C48">
        <v>448</v>
      </c>
      <c r="D48" t="s">
        <v>287</v>
      </c>
    </row>
    <row r="49" spans="1:4" x14ac:dyDescent="0.25">
      <c r="A49" t="s">
        <v>43</v>
      </c>
      <c r="B49" t="s">
        <v>52</v>
      </c>
      <c r="C49">
        <v>1200</v>
      </c>
      <c r="D49" t="s">
        <v>67</v>
      </c>
    </row>
    <row r="50" spans="1:4" x14ac:dyDescent="0.25">
      <c r="A50" t="s">
        <v>43</v>
      </c>
      <c r="B50" t="s">
        <v>53</v>
      </c>
      <c r="C50">
        <v>300</v>
      </c>
      <c r="D50" t="s">
        <v>68</v>
      </c>
    </row>
    <row r="51" spans="1:4" x14ac:dyDescent="0.25">
      <c r="A51" t="s">
        <v>199</v>
      </c>
      <c r="B51" t="s">
        <v>42</v>
      </c>
      <c r="C51">
        <v>3000</v>
      </c>
      <c r="D51" t="s">
        <v>58</v>
      </c>
    </row>
    <row r="52" spans="1:4" x14ac:dyDescent="0.25">
      <c r="A52" t="s">
        <v>43</v>
      </c>
      <c r="B52" t="s">
        <v>216</v>
      </c>
      <c r="C52">
        <v>155</v>
      </c>
      <c r="D52" t="s">
        <v>277</v>
      </c>
    </row>
    <row r="53" spans="1:4" x14ac:dyDescent="0.25">
      <c r="A53" t="s">
        <v>43</v>
      </c>
      <c r="B53" t="s">
        <v>215</v>
      </c>
      <c r="C53">
        <v>369</v>
      </c>
      <c r="D53" t="s">
        <v>296</v>
      </c>
    </row>
    <row r="54" spans="1:4" x14ac:dyDescent="0.25">
      <c r="A54" t="s">
        <v>43</v>
      </c>
      <c r="B54" t="s">
        <v>204</v>
      </c>
      <c r="C54">
        <v>1573</v>
      </c>
      <c r="D54" t="s">
        <v>238</v>
      </c>
    </row>
    <row r="55" spans="1:4" x14ac:dyDescent="0.25">
      <c r="A55" t="s">
        <v>43</v>
      </c>
      <c r="B55" t="s">
        <v>206</v>
      </c>
      <c r="C55">
        <v>123</v>
      </c>
      <c r="D55" t="s">
        <v>285</v>
      </c>
    </row>
    <row r="56" spans="1:4" x14ac:dyDescent="0.25">
      <c r="A56" t="s">
        <v>43</v>
      </c>
      <c r="B56" t="s">
        <v>185</v>
      </c>
      <c r="C56">
        <v>4</v>
      </c>
      <c r="D56" t="s">
        <v>61</v>
      </c>
    </row>
    <row r="57" spans="1:4" x14ac:dyDescent="0.25">
      <c r="A57" t="s">
        <v>43</v>
      </c>
      <c r="B57" t="s">
        <v>222</v>
      </c>
      <c r="C57">
        <v>26</v>
      </c>
      <c r="D57" t="s">
        <v>302</v>
      </c>
    </row>
    <row r="58" spans="1:4" x14ac:dyDescent="0.25">
      <c r="A58" t="s">
        <v>43</v>
      </c>
      <c r="B58" t="s">
        <v>52</v>
      </c>
      <c r="C58">
        <v>600</v>
      </c>
      <c r="D58" t="s">
        <v>67</v>
      </c>
    </row>
    <row r="59" spans="1:4" x14ac:dyDescent="0.25">
      <c r="A59" t="s">
        <v>43</v>
      </c>
      <c r="B59" t="s">
        <v>53</v>
      </c>
      <c r="C59">
        <v>150</v>
      </c>
      <c r="D59" t="s">
        <v>68</v>
      </c>
    </row>
    <row r="60" spans="1:4" x14ac:dyDescent="0.25">
      <c r="A60" t="s">
        <v>200</v>
      </c>
      <c r="B60" t="s">
        <v>42</v>
      </c>
      <c r="C60">
        <v>3000</v>
      </c>
      <c r="D60" t="s">
        <v>58</v>
      </c>
    </row>
    <row r="61" spans="1:4" x14ac:dyDescent="0.25">
      <c r="A61" t="s">
        <v>43</v>
      </c>
      <c r="B61" t="s">
        <v>193</v>
      </c>
      <c r="C61">
        <v>239</v>
      </c>
      <c r="D61" t="s">
        <v>140</v>
      </c>
    </row>
    <row r="62" spans="1:4" x14ac:dyDescent="0.25">
      <c r="A62" t="s">
        <v>43</v>
      </c>
      <c r="B62" t="s">
        <v>194</v>
      </c>
      <c r="C62">
        <v>1385</v>
      </c>
      <c r="D62" t="s">
        <v>37</v>
      </c>
    </row>
    <row r="63" spans="1:4" x14ac:dyDescent="0.25">
      <c r="A63" t="s">
        <v>43</v>
      </c>
      <c r="B63" t="s">
        <v>221</v>
      </c>
      <c r="C63">
        <v>626</v>
      </c>
      <c r="D63" t="s">
        <v>71</v>
      </c>
    </row>
    <row r="64" spans="1:4" x14ac:dyDescent="0.25">
      <c r="A64" t="s">
        <v>43</v>
      </c>
      <c r="B64" t="s">
        <v>52</v>
      </c>
      <c r="C64">
        <v>600</v>
      </c>
      <c r="D64" t="s">
        <v>67</v>
      </c>
    </row>
    <row r="65" spans="1:4" x14ac:dyDescent="0.25">
      <c r="A65" t="s">
        <v>43</v>
      </c>
      <c r="B65" t="s">
        <v>53</v>
      </c>
      <c r="C65">
        <v>150</v>
      </c>
      <c r="D65" t="s">
        <v>68</v>
      </c>
    </row>
    <row r="66" spans="1:4" x14ac:dyDescent="0.25">
      <c r="A66" t="s">
        <v>201</v>
      </c>
      <c r="B66" t="s">
        <v>42</v>
      </c>
      <c r="C66">
        <v>3000</v>
      </c>
      <c r="D66" t="s">
        <v>58</v>
      </c>
    </row>
    <row r="67" spans="1:4" x14ac:dyDescent="0.25">
      <c r="A67" t="s">
        <v>43</v>
      </c>
      <c r="B67" t="s">
        <v>202</v>
      </c>
      <c r="C67">
        <v>1250</v>
      </c>
      <c r="D67" t="s">
        <v>37</v>
      </c>
    </row>
    <row r="68" spans="1:4" x14ac:dyDescent="0.25">
      <c r="A68" t="s">
        <v>43</v>
      </c>
      <c r="B68" t="s">
        <v>174</v>
      </c>
      <c r="C68">
        <v>673</v>
      </c>
      <c r="D68" t="s">
        <v>268</v>
      </c>
    </row>
    <row r="69" spans="1:4" x14ac:dyDescent="0.25">
      <c r="A69" t="s">
        <v>43</v>
      </c>
      <c r="B69" t="s">
        <v>175</v>
      </c>
      <c r="C69">
        <v>322</v>
      </c>
      <c r="D69" t="s">
        <v>269</v>
      </c>
    </row>
    <row r="70" spans="1:4" x14ac:dyDescent="0.25">
      <c r="A70" t="s">
        <v>43</v>
      </c>
      <c r="B70" t="s">
        <v>181</v>
      </c>
      <c r="C70">
        <v>5</v>
      </c>
      <c r="D70" t="s">
        <v>301</v>
      </c>
    </row>
    <row r="71" spans="1:4" x14ac:dyDescent="0.25">
      <c r="A71" t="s">
        <v>43</v>
      </c>
      <c r="B71" t="s">
        <v>52</v>
      </c>
      <c r="C71">
        <v>600</v>
      </c>
      <c r="D71" t="s">
        <v>67</v>
      </c>
    </row>
    <row r="72" spans="1:4" x14ac:dyDescent="0.25">
      <c r="A72" t="s">
        <v>43</v>
      </c>
      <c r="B72" t="s">
        <v>53</v>
      </c>
      <c r="C72">
        <v>150</v>
      </c>
      <c r="D72" t="s">
        <v>68</v>
      </c>
    </row>
    <row r="73" spans="1:4" x14ac:dyDescent="0.25">
      <c r="A73" t="s">
        <v>203</v>
      </c>
      <c r="B73" t="s">
        <v>42</v>
      </c>
      <c r="C73">
        <v>3000</v>
      </c>
      <c r="D73" t="s">
        <v>58</v>
      </c>
    </row>
    <row r="74" spans="1:4" x14ac:dyDescent="0.25">
      <c r="A74" t="s">
        <v>43</v>
      </c>
      <c r="B74" t="s">
        <v>205</v>
      </c>
      <c r="C74">
        <v>2250</v>
      </c>
      <c r="D74" t="s">
        <v>37</v>
      </c>
    </row>
    <row r="75" spans="1:4" x14ac:dyDescent="0.25">
      <c r="A75" t="s">
        <v>43</v>
      </c>
      <c r="B75" t="s">
        <v>52</v>
      </c>
      <c r="C75">
        <v>600</v>
      </c>
      <c r="D75" t="s">
        <v>67</v>
      </c>
    </row>
    <row r="76" spans="1:4" x14ac:dyDescent="0.25">
      <c r="A76" t="s">
        <v>43</v>
      </c>
      <c r="B76" t="s">
        <v>53</v>
      </c>
      <c r="C76">
        <v>150</v>
      </c>
      <c r="D76" t="s">
        <v>68</v>
      </c>
    </row>
    <row r="77" spans="1:4" x14ac:dyDescent="0.25">
      <c r="A77" t="s">
        <v>210</v>
      </c>
      <c r="B77" t="s">
        <v>42</v>
      </c>
      <c r="C77">
        <v>6000</v>
      </c>
      <c r="D77" t="s">
        <v>58</v>
      </c>
    </row>
    <row r="78" spans="1:4" x14ac:dyDescent="0.25">
      <c r="A78" t="s">
        <v>43</v>
      </c>
      <c r="B78" t="s">
        <v>215</v>
      </c>
      <c r="C78">
        <v>588</v>
      </c>
      <c r="D78" t="s">
        <v>225</v>
      </c>
    </row>
    <row r="79" spans="1:4" x14ac:dyDescent="0.25">
      <c r="A79" t="s">
        <v>43</v>
      </c>
      <c r="B79" t="s">
        <v>217</v>
      </c>
      <c r="C79">
        <v>323</v>
      </c>
      <c r="D79" t="s">
        <v>69</v>
      </c>
    </row>
    <row r="80" spans="1:4" x14ac:dyDescent="0.25">
      <c r="A80" t="s">
        <v>43</v>
      </c>
      <c r="B80" t="s">
        <v>178</v>
      </c>
      <c r="C80">
        <v>470</v>
      </c>
      <c r="D80" t="s">
        <v>267</v>
      </c>
    </row>
    <row r="81" spans="1:4" x14ac:dyDescent="0.25">
      <c r="A81" t="s">
        <v>43</v>
      </c>
      <c r="B81" t="s">
        <v>174</v>
      </c>
      <c r="C81">
        <v>671</v>
      </c>
      <c r="D81" t="s">
        <v>273</v>
      </c>
    </row>
    <row r="82" spans="1:4" x14ac:dyDescent="0.25">
      <c r="A82" t="s">
        <v>43</v>
      </c>
      <c r="B82" t="s">
        <v>211</v>
      </c>
      <c r="C82">
        <v>2447</v>
      </c>
      <c r="D82" t="s">
        <v>37</v>
      </c>
    </row>
    <row r="83" spans="1:4" x14ac:dyDescent="0.25">
      <c r="A83" t="s">
        <v>43</v>
      </c>
      <c r="B83" t="s">
        <v>52</v>
      </c>
      <c r="C83">
        <v>1200</v>
      </c>
      <c r="D83" t="s">
        <v>67</v>
      </c>
    </row>
    <row r="84" spans="1:4" x14ac:dyDescent="0.25">
      <c r="A84" t="s">
        <v>43</v>
      </c>
      <c r="B84" t="s">
        <v>53</v>
      </c>
      <c r="C84">
        <v>300</v>
      </c>
      <c r="D84" t="s">
        <v>68</v>
      </c>
    </row>
    <row r="85" spans="1:4" x14ac:dyDescent="0.25">
      <c r="A85" t="s">
        <v>212</v>
      </c>
      <c r="B85" t="s">
        <v>42</v>
      </c>
      <c r="C85">
        <v>3000</v>
      </c>
      <c r="D85" t="s">
        <v>58</v>
      </c>
    </row>
    <row r="86" spans="1:4" x14ac:dyDescent="0.25">
      <c r="A86" t="s">
        <v>43</v>
      </c>
      <c r="B86" t="s">
        <v>221</v>
      </c>
      <c r="C86">
        <v>1761</v>
      </c>
      <c r="D86" t="s">
        <v>290</v>
      </c>
    </row>
    <row r="87" spans="1:4" x14ac:dyDescent="0.25">
      <c r="A87" t="s">
        <v>43</v>
      </c>
      <c r="B87" t="s">
        <v>213</v>
      </c>
      <c r="C87">
        <v>489</v>
      </c>
      <c r="D87" t="s">
        <v>37</v>
      </c>
    </row>
    <row r="88" spans="1:4" x14ac:dyDescent="0.25">
      <c r="A88" t="s">
        <v>43</v>
      </c>
      <c r="B88" t="s">
        <v>52</v>
      </c>
      <c r="C88">
        <v>600</v>
      </c>
      <c r="D88" t="s">
        <v>67</v>
      </c>
    </row>
    <row r="89" spans="1:4" x14ac:dyDescent="0.25">
      <c r="A89" t="s">
        <v>43</v>
      </c>
      <c r="B89" t="s">
        <v>53</v>
      </c>
      <c r="C89">
        <v>150</v>
      </c>
      <c r="D89" t="s">
        <v>68</v>
      </c>
    </row>
    <row r="90" spans="1:4" x14ac:dyDescent="0.25">
      <c r="A90" t="s">
        <v>214</v>
      </c>
      <c r="B90" t="s">
        <v>42</v>
      </c>
      <c r="C90">
        <v>2876</v>
      </c>
      <c r="D90" t="s">
        <v>58</v>
      </c>
    </row>
    <row r="91" spans="1:4" x14ac:dyDescent="0.25">
      <c r="A91" t="s">
        <v>43</v>
      </c>
      <c r="B91" t="s">
        <v>215</v>
      </c>
      <c r="C91">
        <v>1259</v>
      </c>
      <c r="D91" t="s">
        <v>37</v>
      </c>
    </row>
    <row r="92" spans="1:4" x14ac:dyDescent="0.25">
      <c r="A92" t="s">
        <v>43</v>
      </c>
      <c r="B92" t="s">
        <v>177</v>
      </c>
      <c r="C92">
        <v>898</v>
      </c>
      <c r="D92" t="s">
        <v>280</v>
      </c>
    </row>
    <row r="93" spans="1:4" x14ac:dyDescent="0.25">
      <c r="A93" t="s">
        <v>43</v>
      </c>
      <c r="B93" t="s">
        <v>52</v>
      </c>
      <c r="C93">
        <v>575</v>
      </c>
      <c r="D93" t="s">
        <v>67</v>
      </c>
    </row>
    <row r="94" spans="1:4" x14ac:dyDescent="0.25">
      <c r="A94" t="s">
        <v>43</v>
      </c>
      <c r="B94" t="s">
        <v>53</v>
      </c>
      <c r="C94">
        <v>144</v>
      </c>
      <c r="D94" t="s">
        <v>68</v>
      </c>
    </row>
    <row r="95" spans="1:4" x14ac:dyDescent="0.25">
      <c r="A95" t="s">
        <v>257</v>
      </c>
      <c r="B95" t="s">
        <v>42</v>
      </c>
      <c r="C95">
        <v>5709</v>
      </c>
      <c r="D95" t="s">
        <v>58</v>
      </c>
    </row>
    <row r="96" spans="1:4" x14ac:dyDescent="0.25">
      <c r="A96" t="s">
        <v>43</v>
      </c>
      <c r="B96" t="s">
        <v>219</v>
      </c>
      <c r="C96">
        <v>63</v>
      </c>
      <c r="D96" t="s">
        <v>300</v>
      </c>
    </row>
    <row r="97" spans="1:4" x14ac:dyDescent="0.25">
      <c r="A97" t="s">
        <v>43</v>
      </c>
      <c r="B97" t="s">
        <v>196</v>
      </c>
      <c r="C97">
        <v>560</v>
      </c>
      <c r="D97" t="s">
        <v>291</v>
      </c>
    </row>
    <row r="98" spans="1:4" x14ac:dyDescent="0.25">
      <c r="A98" t="s">
        <v>43</v>
      </c>
      <c r="B98" t="s">
        <v>209</v>
      </c>
      <c r="C98">
        <v>1901</v>
      </c>
      <c r="D98" t="s">
        <v>253</v>
      </c>
    </row>
    <row r="99" spans="1:4" x14ac:dyDescent="0.25">
      <c r="A99" t="s">
        <v>43</v>
      </c>
      <c r="B99" t="s">
        <v>223</v>
      </c>
      <c r="C99">
        <v>1757</v>
      </c>
      <c r="D99" t="s">
        <v>37</v>
      </c>
    </row>
    <row r="100" spans="1:4" x14ac:dyDescent="0.25">
      <c r="A100" t="s">
        <v>43</v>
      </c>
      <c r="B100" t="s">
        <v>52</v>
      </c>
      <c r="C100">
        <v>1142</v>
      </c>
      <c r="D100" t="s">
        <v>67</v>
      </c>
    </row>
    <row r="101" spans="1:4" x14ac:dyDescent="0.25">
      <c r="A101" t="s">
        <v>43</v>
      </c>
      <c r="B101" t="s">
        <v>53</v>
      </c>
      <c r="C101">
        <v>285</v>
      </c>
      <c r="D101" t="s">
        <v>68</v>
      </c>
    </row>
    <row r="102" spans="1:4" x14ac:dyDescent="0.25">
      <c r="A102" t="s">
        <v>258</v>
      </c>
      <c r="B102" t="s">
        <v>42</v>
      </c>
      <c r="C102">
        <v>3000</v>
      </c>
      <c r="D102" t="s">
        <v>58</v>
      </c>
    </row>
    <row r="103" spans="1:4" x14ac:dyDescent="0.25">
      <c r="A103" t="s">
        <v>43</v>
      </c>
      <c r="B103" t="s">
        <v>193</v>
      </c>
      <c r="C103">
        <v>306</v>
      </c>
      <c r="D103" t="s">
        <v>272</v>
      </c>
    </row>
    <row r="104" spans="1:4" x14ac:dyDescent="0.25">
      <c r="A104" t="s">
        <v>43</v>
      </c>
      <c r="B104" t="s">
        <v>195</v>
      </c>
      <c r="C104">
        <v>1312</v>
      </c>
      <c r="D104" t="s">
        <v>286</v>
      </c>
    </row>
    <row r="105" spans="1:4" x14ac:dyDescent="0.25">
      <c r="A105" t="s">
        <v>43</v>
      </c>
      <c r="B105" t="s">
        <v>259</v>
      </c>
      <c r="C105">
        <v>632</v>
      </c>
      <c r="D105" t="s">
        <v>37</v>
      </c>
    </row>
    <row r="106" spans="1:4" x14ac:dyDescent="0.25">
      <c r="A106" t="s">
        <v>43</v>
      </c>
      <c r="B106" t="s">
        <v>52</v>
      </c>
      <c r="C106">
        <v>600</v>
      </c>
      <c r="D106" t="s">
        <v>67</v>
      </c>
    </row>
    <row r="107" spans="1:4" x14ac:dyDescent="0.25">
      <c r="A107" t="s">
        <v>43</v>
      </c>
      <c r="B107" t="s">
        <v>53</v>
      </c>
      <c r="C107">
        <v>150</v>
      </c>
      <c r="D107" t="s">
        <v>68</v>
      </c>
    </row>
    <row r="108" spans="1:4" x14ac:dyDescent="0.25">
      <c r="A108" t="s">
        <v>260</v>
      </c>
      <c r="B108" t="s">
        <v>42</v>
      </c>
      <c r="C108">
        <v>6000</v>
      </c>
      <c r="D108" t="s">
        <v>58</v>
      </c>
    </row>
    <row r="109" spans="1:4" x14ac:dyDescent="0.25">
      <c r="A109" t="s">
        <v>43</v>
      </c>
      <c r="B109" t="s">
        <v>219</v>
      </c>
      <c r="C109">
        <v>1839</v>
      </c>
      <c r="D109" t="s">
        <v>246</v>
      </c>
    </row>
    <row r="110" spans="1:4" x14ac:dyDescent="0.25">
      <c r="A110" t="s">
        <v>43</v>
      </c>
      <c r="B110" t="s">
        <v>195</v>
      </c>
      <c r="C110">
        <v>406</v>
      </c>
      <c r="D110" t="s">
        <v>248</v>
      </c>
    </row>
    <row r="111" spans="1:4" x14ac:dyDescent="0.25">
      <c r="A111" t="s">
        <v>43</v>
      </c>
      <c r="B111" t="s">
        <v>198</v>
      </c>
      <c r="C111">
        <v>2255</v>
      </c>
      <c r="D111" t="s">
        <v>37</v>
      </c>
    </row>
    <row r="112" spans="1:4" x14ac:dyDescent="0.25">
      <c r="A112" t="s">
        <v>43</v>
      </c>
      <c r="B112" t="s">
        <v>52</v>
      </c>
      <c r="C112">
        <v>1200</v>
      </c>
      <c r="D112" t="s">
        <v>67</v>
      </c>
    </row>
    <row r="113" spans="1:4" x14ac:dyDescent="0.25">
      <c r="A113" t="s">
        <v>43</v>
      </c>
      <c r="B113" t="s">
        <v>53</v>
      </c>
      <c r="C113">
        <v>300</v>
      </c>
      <c r="D113" t="s">
        <v>68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37"/>
  <sheetViews>
    <sheetView workbookViewId="0">
      <selection activeCell="C3" sqref="C3:C34"/>
    </sheetView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50</v>
      </c>
      <c r="B1" t="s">
        <v>86</v>
      </c>
      <c r="C1" t="s">
        <v>87</v>
      </c>
      <c r="D1" t="s">
        <v>58</v>
      </c>
    </row>
    <row r="2" spans="1:4" x14ac:dyDescent="0.25">
      <c r="A2" t="s">
        <v>77</v>
      </c>
      <c r="B2" t="s">
        <v>42</v>
      </c>
      <c r="C2">
        <v>23811</v>
      </c>
      <c r="D2" t="s">
        <v>58</v>
      </c>
    </row>
    <row r="3" spans="1:4" x14ac:dyDescent="0.25">
      <c r="A3" t="s">
        <v>43</v>
      </c>
      <c r="B3" t="s">
        <v>215</v>
      </c>
      <c r="C3">
        <v>454</v>
      </c>
      <c r="D3" t="s">
        <v>67</v>
      </c>
    </row>
    <row r="4" spans="1:4" x14ac:dyDescent="0.25">
      <c r="A4" t="s">
        <v>43</v>
      </c>
      <c r="B4" t="s">
        <v>217</v>
      </c>
      <c r="C4">
        <v>79</v>
      </c>
      <c r="D4" t="s">
        <v>67</v>
      </c>
    </row>
    <row r="5" spans="1:4" x14ac:dyDescent="0.25">
      <c r="A5" t="s">
        <v>43</v>
      </c>
      <c r="B5" t="s">
        <v>173</v>
      </c>
      <c r="C5">
        <v>498</v>
      </c>
      <c r="D5" t="s">
        <v>67</v>
      </c>
    </row>
    <row r="6" spans="1:4" x14ac:dyDescent="0.25">
      <c r="A6" t="s">
        <v>43</v>
      </c>
      <c r="B6" t="s">
        <v>205</v>
      </c>
      <c r="C6">
        <v>728</v>
      </c>
      <c r="D6" t="s">
        <v>67</v>
      </c>
    </row>
    <row r="7" spans="1:4" x14ac:dyDescent="0.25">
      <c r="A7" t="s">
        <v>43</v>
      </c>
      <c r="B7" t="s">
        <v>184</v>
      </c>
      <c r="C7">
        <v>991</v>
      </c>
      <c r="D7" t="s">
        <v>67</v>
      </c>
    </row>
    <row r="8" spans="1:4" x14ac:dyDescent="0.25">
      <c r="A8" t="s">
        <v>43</v>
      </c>
      <c r="B8" t="s">
        <v>202</v>
      </c>
      <c r="C8">
        <v>433</v>
      </c>
      <c r="D8" t="s">
        <v>67</v>
      </c>
    </row>
    <row r="9" spans="1:4" x14ac:dyDescent="0.25">
      <c r="A9" t="s">
        <v>43</v>
      </c>
      <c r="B9" t="s">
        <v>218</v>
      </c>
      <c r="C9">
        <v>71</v>
      </c>
      <c r="D9" t="s">
        <v>67</v>
      </c>
    </row>
    <row r="10" spans="1:4" x14ac:dyDescent="0.25">
      <c r="A10" t="s">
        <v>43</v>
      </c>
      <c r="B10" t="s">
        <v>193</v>
      </c>
      <c r="C10">
        <v>1205</v>
      </c>
      <c r="D10" t="s">
        <v>67</v>
      </c>
    </row>
    <row r="11" spans="1:4" x14ac:dyDescent="0.25">
      <c r="A11" t="s">
        <v>43</v>
      </c>
      <c r="B11" t="s">
        <v>174</v>
      </c>
      <c r="C11">
        <v>463</v>
      </c>
      <c r="D11" t="s">
        <v>67</v>
      </c>
    </row>
    <row r="12" spans="1:4" x14ac:dyDescent="0.25">
      <c r="A12" t="s">
        <v>43</v>
      </c>
      <c r="B12" t="s">
        <v>136</v>
      </c>
      <c r="C12">
        <v>977</v>
      </c>
      <c r="D12" t="s">
        <v>67</v>
      </c>
    </row>
    <row r="13" spans="1:4" x14ac:dyDescent="0.25">
      <c r="A13" t="s">
        <v>43</v>
      </c>
      <c r="B13" t="s">
        <v>206</v>
      </c>
      <c r="C13">
        <v>650</v>
      </c>
      <c r="D13" t="s">
        <v>67</v>
      </c>
    </row>
    <row r="14" spans="1:4" x14ac:dyDescent="0.25">
      <c r="A14" t="s">
        <v>43</v>
      </c>
      <c r="B14" t="s">
        <v>185</v>
      </c>
      <c r="C14">
        <v>67</v>
      </c>
      <c r="D14" t="s">
        <v>67</v>
      </c>
    </row>
    <row r="15" spans="1:4" x14ac:dyDescent="0.25">
      <c r="A15" t="s">
        <v>43</v>
      </c>
      <c r="B15" t="s">
        <v>187</v>
      </c>
      <c r="C15">
        <v>1217</v>
      </c>
      <c r="D15" t="s">
        <v>67</v>
      </c>
    </row>
    <row r="16" spans="1:4" x14ac:dyDescent="0.25">
      <c r="A16" t="s">
        <v>43</v>
      </c>
      <c r="B16" t="s">
        <v>189</v>
      </c>
      <c r="C16">
        <v>852</v>
      </c>
      <c r="D16" t="s">
        <v>67</v>
      </c>
    </row>
    <row r="17" spans="1:4" x14ac:dyDescent="0.25">
      <c r="A17" t="s">
        <v>43</v>
      </c>
      <c r="B17" t="s">
        <v>194</v>
      </c>
      <c r="C17">
        <v>1500</v>
      </c>
      <c r="D17" t="s">
        <v>67</v>
      </c>
    </row>
    <row r="18" spans="1:4" x14ac:dyDescent="0.25">
      <c r="A18" t="s">
        <v>43</v>
      </c>
      <c r="B18" t="s">
        <v>175</v>
      </c>
      <c r="C18">
        <v>60</v>
      </c>
      <c r="D18" t="s">
        <v>67</v>
      </c>
    </row>
    <row r="19" spans="1:4" x14ac:dyDescent="0.25">
      <c r="A19" t="s">
        <v>43</v>
      </c>
      <c r="B19" t="s">
        <v>181</v>
      </c>
      <c r="C19">
        <v>750</v>
      </c>
      <c r="D19" t="s">
        <v>67</v>
      </c>
    </row>
    <row r="20" spans="1:4" x14ac:dyDescent="0.25">
      <c r="A20" t="s">
        <v>43</v>
      </c>
      <c r="B20" t="s">
        <v>195</v>
      </c>
      <c r="C20">
        <v>22</v>
      </c>
      <c r="D20" t="s">
        <v>67</v>
      </c>
    </row>
    <row r="21" spans="1:4" x14ac:dyDescent="0.25">
      <c r="A21" t="s">
        <v>43</v>
      </c>
      <c r="B21" t="s">
        <v>190</v>
      </c>
      <c r="C21">
        <v>464</v>
      </c>
      <c r="D21" t="s">
        <v>67</v>
      </c>
    </row>
    <row r="22" spans="1:4" x14ac:dyDescent="0.25">
      <c r="A22" t="s">
        <v>43</v>
      </c>
      <c r="B22" t="s">
        <v>220</v>
      </c>
      <c r="C22">
        <v>728</v>
      </c>
      <c r="D22" t="s">
        <v>67</v>
      </c>
    </row>
    <row r="23" spans="1:4" x14ac:dyDescent="0.25">
      <c r="A23" t="s">
        <v>43</v>
      </c>
      <c r="B23" t="s">
        <v>221</v>
      </c>
      <c r="C23">
        <v>446</v>
      </c>
      <c r="D23" t="s">
        <v>67</v>
      </c>
    </row>
    <row r="24" spans="1:4" x14ac:dyDescent="0.25">
      <c r="A24" t="s">
        <v>43</v>
      </c>
      <c r="B24" t="s">
        <v>197</v>
      </c>
      <c r="C24">
        <v>1310</v>
      </c>
      <c r="D24" t="s">
        <v>67</v>
      </c>
    </row>
    <row r="25" spans="1:4" x14ac:dyDescent="0.25">
      <c r="A25" t="s">
        <v>43</v>
      </c>
      <c r="B25" t="s">
        <v>213</v>
      </c>
      <c r="C25">
        <v>982</v>
      </c>
      <c r="D25" t="s">
        <v>67</v>
      </c>
    </row>
    <row r="26" spans="1:4" x14ac:dyDescent="0.25">
      <c r="A26" t="s">
        <v>43</v>
      </c>
      <c r="B26" t="s">
        <v>182</v>
      </c>
      <c r="C26">
        <v>106</v>
      </c>
      <c r="D26" t="s">
        <v>67</v>
      </c>
    </row>
    <row r="27" spans="1:4" x14ac:dyDescent="0.25">
      <c r="A27" t="s">
        <v>43</v>
      </c>
      <c r="B27" t="s">
        <v>255</v>
      </c>
      <c r="C27">
        <v>748</v>
      </c>
      <c r="D27" t="s">
        <v>67</v>
      </c>
    </row>
    <row r="28" spans="1:4" x14ac:dyDescent="0.25">
      <c r="A28" t="s">
        <v>43</v>
      </c>
      <c r="B28" t="s">
        <v>223</v>
      </c>
      <c r="C28">
        <v>329</v>
      </c>
      <c r="D28" t="s">
        <v>67</v>
      </c>
    </row>
    <row r="29" spans="1:4" x14ac:dyDescent="0.25">
      <c r="A29" t="s">
        <v>43</v>
      </c>
      <c r="B29" t="s">
        <v>259</v>
      </c>
      <c r="C29">
        <v>118</v>
      </c>
      <c r="D29" t="s">
        <v>67</v>
      </c>
    </row>
    <row r="30" spans="1:4" x14ac:dyDescent="0.25">
      <c r="A30" t="s">
        <v>43</v>
      </c>
      <c r="B30" t="s">
        <v>198</v>
      </c>
      <c r="C30">
        <v>422</v>
      </c>
      <c r="D30" t="s">
        <v>67</v>
      </c>
    </row>
    <row r="31" spans="1:4" x14ac:dyDescent="0.25">
      <c r="A31" t="s">
        <v>43</v>
      </c>
      <c r="B31" t="s">
        <v>118</v>
      </c>
      <c r="C31">
        <v>126</v>
      </c>
      <c r="D31" t="s">
        <v>67</v>
      </c>
    </row>
    <row r="32" spans="1:4" x14ac:dyDescent="0.25">
      <c r="A32" t="s">
        <v>43</v>
      </c>
      <c r="B32" t="s">
        <v>147</v>
      </c>
      <c r="C32">
        <v>969</v>
      </c>
      <c r="D32" t="s">
        <v>67</v>
      </c>
    </row>
    <row r="33" spans="1:4" x14ac:dyDescent="0.25">
      <c r="A33" t="s">
        <v>43</v>
      </c>
      <c r="B33" t="s">
        <v>111</v>
      </c>
      <c r="C33">
        <v>770</v>
      </c>
      <c r="D33" t="s">
        <v>67</v>
      </c>
    </row>
    <row r="34" spans="1:4" x14ac:dyDescent="0.25">
      <c r="A34" t="s">
        <v>43</v>
      </c>
      <c r="B34" t="s">
        <v>109</v>
      </c>
      <c r="C34">
        <v>719</v>
      </c>
      <c r="D34" t="s">
        <v>67</v>
      </c>
    </row>
    <row r="35" spans="1:4" x14ac:dyDescent="0.25">
      <c r="A35" t="s">
        <v>43</v>
      </c>
      <c r="B35" t="s">
        <v>240</v>
      </c>
      <c r="C35">
        <v>1427</v>
      </c>
      <c r="D35" t="s">
        <v>67</v>
      </c>
    </row>
    <row r="36" spans="1:4" x14ac:dyDescent="0.25">
      <c r="A36" t="s">
        <v>43</v>
      </c>
      <c r="B36" t="s">
        <v>247</v>
      </c>
      <c r="C36">
        <v>750</v>
      </c>
      <c r="D36" t="s">
        <v>67</v>
      </c>
    </row>
    <row r="37" spans="1:4" x14ac:dyDescent="0.25">
      <c r="A37" t="s">
        <v>43</v>
      </c>
      <c r="B37" t="s">
        <v>53</v>
      </c>
      <c r="C37">
        <v>2381</v>
      </c>
      <c r="D37" t="s">
        <v>67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15"/>
  <sheetViews>
    <sheetView workbookViewId="0">
      <selection activeCell="C3" sqref="C3:C17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86</v>
      </c>
      <c r="C1" t="s">
        <v>87</v>
      </c>
      <c r="D1" t="s">
        <v>58</v>
      </c>
    </row>
    <row r="2" spans="1:4" x14ac:dyDescent="0.25">
      <c r="A2" t="s">
        <v>78</v>
      </c>
      <c r="B2" t="s">
        <v>42</v>
      </c>
      <c r="C2">
        <v>5960</v>
      </c>
      <c r="D2" t="s">
        <v>58</v>
      </c>
    </row>
    <row r="3" spans="1:4" x14ac:dyDescent="0.25">
      <c r="A3" t="s">
        <v>43</v>
      </c>
      <c r="B3" t="s">
        <v>216</v>
      </c>
      <c r="C3">
        <v>29</v>
      </c>
      <c r="D3" t="s">
        <v>68</v>
      </c>
    </row>
    <row r="4" spans="1:4" x14ac:dyDescent="0.25">
      <c r="A4" t="s">
        <v>43</v>
      </c>
      <c r="B4" t="s">
        <v>204</v>
      </c>
      <c r="C4">
        <v>294</v>
      </c>
      <c r="D4" t="s">
        <v>68</v>
      </c>
    </row>
    <row r="5" spans="1:4" x14ac:dyDescent="0.25">
      <c r="A5" t="s">
        <v>43</v>
      </c>
      <c r="B5" t="s">
        <v>192</v>
      </c>
      <c r="C5">
        <v>411</v>
      </c>
      <c r="D5" t="s">
        <v>68</v>
      </c>
    </row>
    <row r="6" spans="1:4" x14ac:dyDescent="0.25">
      <c r="A6" t="s">
        <v>43</v>
      </c>
      <c r="B6" t="s">
        <v>177</v>
      </c>
      <c r="C6">
        <v>750</v>
      </c>
      <c r="D6" t="s">
        <v>68</v>
      </c>
    </row>
    <row r="7" spans="1:4" x14ac:dyDescent="0.25">
      <c r="A7" t="s">
        <v>43</v>
      </c>
      <c r="B7" t="s">
        <v>180</v>
      </c>
      <c r="C7">
        <v>171</v>
      </c>
      <c r="D7" t="s">
        <v>68</v>
      </c>
    </row>
    <row r="8" spans="1:4" x14ac:dyDescent="0.25">
      <c r="A8" t="s">
        <v>43</v>
      </c>
      <c r="B8" t="s">
        <v>207</v>
      </c>
      <c r="C8">
        <v>1059</v>
      </c>
      <c r="D8" t="s">
        <v>68</v>
      </c>
    </row>
    <row r="9" spans="1:4" x14ac:dyDescent="0.25">
      <c r="A9" t="s">
        <v>43</v>
      </c>
      <c r="B9" t="s">
        <v>196</v>
      </c>
      <c r="C9">
        <v>18</v>
      </c>
      <c r="D9" t="s">
        <v>68</v>
      </c>
    </row>
    <row r="10" spans="1:4" x14ac:dyDescent="0.25">
      <c r="A10" t="s">
        <v>43</v>
      </c>
      <c r="B10" t="s">
        <v>208</v>
      </c>
      <c r="C10">
        <v>61</v>
      </c>
      <c r="D10" t="s">
        <v>68</v>
      </c>
    </row>
    <row r="11" spans="1:4" x14ac:dyDescent="0.25">
      <c r="A11" t="s">
        <v>43</v>
      </c>
      <c r="B11" t="s">
        <v>211</v>
      </c>
      <c r="C11">
        <v>458</v>
      </c>
      <c r="D11" t="s">
        <v>68</v>
      </c>
    </row>
    <row r="12" spans="1:4" x14ac:dyDescent="0.25">
      <c r="A12" t="s">
        <v>43</v>
      </c>
      <c r="B12" t="s">
        <v>182</v>
      </c>
      <c r="C12">
        <v>723</v>
      </c>
      <c r="D12" t="s">
        <v>68</v>
      </c>
    </row>
    <row r="13" spans="1:4" x14ac:dyDescent="0.25">
      <c r="A13" t="s">
        <v>43</v>
      </c>
      <c r="B13" t="s">
        <v>209</v>
      </c>
      <c r="C13">
        <v>794</v>
      </c>
      <c r="D13" t="s">
        <v>68</v>
      </c>
    </row>
    <row r="14" spans="1:4" x14ac:dyDescent="0.25">
      <c r="A14" t="s">
        <v>43</v>
      </c>
      <c r="B14" t="s">
        <v>111</v>
      </c>
      <c r="C14">
        <v>596</v>
      </c>
      <c r="D14" t="s">
        <v>68</v>
      </c>
    </row>
    <row r="15" spans="1:4" x14ac:dyDescent="0.25">
      <c r="A15" t="s">
        <v>43</v>
      </c>
      <c r="B15" t="s">
        <v>52</v>
      </c>
      <c r="C15">
        <v>596</v>
      </c>
      <c r="D15" t="s">
        <v>67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21"/>
  <sheetViews>
    <sheetView workbookViewId="0">
      <selection activeCell="C1" sqref="C1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5" width="6.7109375" bestFit="1" customWidth="1"/>
    <col min="6" max="6" width="6.7109375" customWidth="1"/>
    <col min="7" max="7" width="9.7109375" style="1" bestFit="1" customWidth="1"/>
  </cols>
  <sheetData>
    <row r="1" spans="1:7" x14ac:dyDescent="0.25">
      <c r="A1" t="s">
        <v>44</v>
      </c>
      <c r="B1" t="s">
        <v>45</v>
      </c>
      <c r="C1" t="s">
        <v>82</v>
      </c>
      <c r="D1" t="s">
        <v>83</v>
      </c>
      <c r="E1" t="s">
        <v>46</v>
      </c>
      <c r="F1" t="s">
        <v>47</v>
      </c>
      <c r="G1"/>
    </row>
    <row r="2" spans="1:7" x14ac:dyDescent="0.25">
      <c r="A2" t="s">
        <v>93</v>
      </c>
      <c r="B2" t="s">
        <v>48</v>
      </c>
      <c r="C2" t="s">
        <v>55</v>
      </c>
      <c r="D2" t="s">
        <v>48</v>
      </c>
      <c r="E2" t="s">
        <v>48</v>
      </c>
      <c r="F2" t="s">
        <v>261</v>
      </c>
      <c r="G2"/>
    </row>
    <row r="3" spans="1:7" x14ac:dyDescent="0.25">
      <c r="A3" t="s">
        <v>94</v>
      </c>
      <c r="B3" t="s">
        <v>48</v>
      </c>
      <c r="C3" t="s">
        <v>55</v>
      </c>
      <c r="D3" t="s">
        <v>48</v>
      </c>
      <c r="E3" t="s">
        <v>48</v>
      </c>
      <c r="F3" t="s">
        <v>261</v>
      </c>
      <c r="G3"/>
    </row>
    <row r="4" spans="1:7" x14ac:dyDescent="0.25">
      <c r="A4" t="s">
        <v>95</v>
      </c>
      <c r="B4" t="s">
        <v>49</v>
      </c>
      <c r="C4" t="s">
        <v>55</v>
      </c>
      <c r="D4" t="s">
        <v>49</v>
      </c>
      <c r="E4" t="s">
        <v>49</v>
      </c>
      <c r="F4" t="s">
        <v>261</v>
      </c>
      <c r="G4"/>
    </row>
    <row r="5" spans="1:7" x14ac:dyDescent="0.25">
      <c r="A5" t="s">
        <v>229</v>
      </c>
      <c r="B5" t="s">
        <v>48</v>
      </c>
      <c r="C5" t="s">
        <v>55</v>
      </c>
      <c r="D5" t="s">
        <v>48</v>
      </c>
      <c r="E5" t="s">
        <v>48</v>
      </c>
      <c r="F5" t="s">
        <v>261</v>
      </c>
      <c r="G5"/>
    </row>
    <row r="6" spans="1:7" x14ac:dyDescent="0.25">
      <c r="A6" t="s">
        <v>96</v>
      </c>
      <c r="B6" t="s">
        <v>48</v>
      </c>
      <c r="C6" t="s">
        <v>55</v>
      </c>
      <c r="D6" t="s">
        <v>48</v>
      </c>
      <c r="E6" t="s">
        <v>48</v>
      </c>
      <c r="F6" t="s">
        <v>261</v>
      </c>
      <c r="G6"/>
    </row>
    <row r="7" spans="1:7" x14ac:dyDescent="0.25">
      <c r="A7" t="s">
        <v>97</v>
      </c>
      <c r="B7" t="s">
        <v>48</v>
      </c>
      <c r="C7" t="s">
        <v>55</v>
      </c>
      <c r="D7" t="s">
        <v>48</v>
      </c>
      <c r="E7" t="s">
        <v>48</v>
      </c>
      <c r="F7" t="s">
        <v>261</v>
      </c>
      <c r="G7"/>
    </row>
    <row r="8" spans="1:7" x14ac:dyDescent="0.25">
      <c r="A8" t="s">
        <v>98</v>
      </c>
      <c r="B8" t="s">
        <v>49</v>
      </c>
      <c r="C8" t="s">
        <v>55</v>
      </c>
      <c r="D8" t="s">
        <v>49</v>
      </c>
      <c r="E8" t="s">
        <v>49</v>
      </c>
      <c r="F8" t="s">
        <v>261</v>
      </c>
      <c r="G8"/>
    </row>
    <row r="9" spans="1:7" x14ac:dyDescent="0.25">
      <c r="A9" t="s">
        <v>99</v>
      </c>
      <c r="B9" t="s">
        <v>49</v>
      </c>
      <c r="C9" t="s">
        <v>55</v>
      </c>
      <c r="D9" t="s">
        <v>49</v>
      </c>
      <c r="E9" t="s">
        <v>49</v>
      </c>
      <c r="F9" t="s">
        <v>261</v>
      </c>
      <c r="G9"/>
    </row>
    <row r="10" spans="1:7" x14ac:dyDescent="0.25">
      <c r="A10" t="s">
        <v>100</v>
      </c>
      <c r="B10" t="s">
        <v>48</v>
      </c>
      <c r="C10" t="s">
        <v>55</v>
      </c>
      <c r="D10" t="s">
        <v>48</v>
      </c>
      <c r="E10" t="s">
        <v>48</v>
      </c>
      <c r="F10" t="s">
        <v>261</v>
      </c>
      <c r="G10"/>
    </row>
    <row r="11" spans="1:7" x14ac:dyDescent="0.25">
      <c r="A11" t="s">
        <v>101</v>
      </c>
      <c r="B11" t="s">
        <v>48</v>
      </c>
      <c r="C11" t="s">
        <v>55</v>
      </c>
      <c r="D11" t="s">
        <v>48</v>
      </c>
      <c r="E11" t="s">
        <v>48</v>
      </c>
      <c r="F11" t="s">
        <v>261</v>
      </c>
      <c r="G11"/>
    </row>
    <row r="12" spans="1:7" x14ac:dyDescent="0.25">
      <c r="A12" t="s">
        <v>92</v>
      </c>
      <c r="B12" t="s">
        <v>48</v>
      </c>
      <c r="C12" t="s">
        <v>55</v>
      </c>
      <c r="D12" t="s">
        <v>48</v>
      </c>
      <c r="E12" t="s">
        <v>48</v>
      </c>
      <c r="F12" t="s">
        <v>261</v>
      </c>
      <c r="G12"/>
    </row>
    <row r="13" spans="1:7" x14ac:dyDescent="0.25">
      <c r="A13" t="s">
        <v>102</v>
      </c>
      <c r="B13" t="s">
        <v>48</v>
      </c>
      <c r="C13" t="s">
        <v>55</v>
      </c>
      <c r="D13" t="s">
        <v>48</v>
      </c>
      <c r="E13" t="s">
        <v>48</v>
      </c>
      <c r="F13" t="s">
        <v>261</v>
      </c>
      <c r="G13"/>
    </row>
    <row r="14" spans="1:7" x14ac:dyDescent="0.25">
      <c r="A14" t="s">
        <v>91</v>
      </c>
      <c r="B14" t="s">
        <v>49</v>
      </c>
      <c r="C14" t="s">
        <v>55</v>
      </c>
      <c r="D14" t="s">
        <v>49</v>
      </c>
      <c r="E14" t="s">
        <v>49</v>
      </c>
      <c r="F14" t="s">
        <v>261</v>
      </c>
      <c r="G14"/>
    </row>
    <row r="15" spans="1:7" x14ac:dyDescent="0.25">
      <c r="A15" t="s">
        <v>103</v>
      </c>
      <c r="B15" t="s">
        <v>48</v>
      </c>
      <c r="C15" t="s">
        <v>55</v>
      </c>
      <c r="D15" t="s">
        <v>48</v>
      </c>
      <c r="E15" t="s">
        <v>48</v>
      </c>
      <c r="F15" t="s">
        <v>261</v>
      </c>
      <c r="G15"/>
    </row>
    <row r="16" spans="1:7" x14ac:dyDescent="0.25">
      <c r="A16" t="s">
        <v>104</v>
      </c>
      <c r="B16" t="s">
        <v>48</v>
      </c>
      <c r="C16" t="s">
        <v>55</v>
      </c>
      <c r="D16" t="s">
        <v>48</v>
      </c>
      <c r="E16" t="s">
        <v>304</v>
      </c>
      <c r="F16" t="s">
        <v>305</v>
      </c>
      <c r="G16"/>
    </row>
    <row r="17" spans="1:7" x14ac:dyDescent="0.25">
      <c r="A17" t="s">
        <v>234</v>
      </c>
      <c r="B17" t="s">
        <v>49</v>
      </c>
      <c r="C17" t="s">
        <v>55</v>
      </c>
      <c r="D17" t="s">
        <v>49</v>
      </c>
      <c r="E17" t="s">
        <v>306</v>
      </c>
      <c r="F17" t="s">
        <v>281</v>
      </c>
      <c r="G17"/>
    </row>
    <row r="18" spans="1:7" x14ac:dyDescent="0.25">
      <c r="A18" t="s">
        <v>235</v>
      </c>
      <c r="B18" t="s">
        <v>48</v>
      </c>
      <c r="C18" t="s">
        <v>55</v>
      </c>
      <c r="D18" t="s">
        <v>48</v>
      </c>
      <c r="E18" t="s">
        <v>48</v>
      </c>
      <c r="F18" t="s">
        <v>261</v>
      </c>
      <c r="G18"/>
    </row>
    <row r="19" spans="1:7" x14ac:dyDescent="0.25">
      <c r="A19" t="s">
        <v>236</v>
      </c>
      <c r="B19" t="s">
        <v>49</v>
      </c>
      <c r="C19" t="s">
        <v>55</v>
      </c>
      <c r="D19" t="s">
        <v>49</v>
      </c>
      <c r="E19" t="s">
        <v>49</v>
      </c>
      <c r="F19" t="s">
        <v>261</v>
      </c>
      <c r="G19"/>
    </row>
    <row r="20" spans="1:7" x14ac:dyDescent="0.25">
      <c r="G20"/>
    </row>
    <row r="21" spans="1:7" x14ac:dyDescent="0.25">
      <c r="G2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D2" sqref="D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50</v>
      </c>
      <c r="B1" t="s">
        <v>45</v>
      </c>
      <c r="C1" t="s">
        <v>46</v>
      </c>
      <c r="D1" t="s">
        <v>47</v>
      </c>
    </row>
    <row r="2" spans="1:4" x14ac:dyDescent="0.25">
      <c r="A2" t="s">
        <v>41</v>
      </c>
      <c r="B2" t="s">
        <v>265</v>
      </c>
      <c r="C2" t="s">
        <v>307</v>
      </c>
      <c r="D2" t="s">
        <v>276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/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45</v>
      </c>
      <c r="C1" t="s">
        <v>46</v>
      </c>
      <c r="D1" t="s">
        <v>47</v>
      </c>
    </row>
    <row r="2" spans="1:4" x14ac:dyDescent="0.25">
      <c r="A2" t="s">
        <v>24</v>
      </c>
      <c r="B2" t="s">
        <v>266</v>
      </c>
      <c r="C2" t="s">
        <v>308</v>
      </c>
      <c r="D2" t="s">
        <v>276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2026-04-22T01:56:23Z</dcterms:modified>
</cp:coreProperties>
</file>