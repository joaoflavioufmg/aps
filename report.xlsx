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D019329C-4C2E-4FA5-B412-23CBE2571DFD}" xr6:coauthVersionLast="47" xr6:coauthVersionMax="47" xr10:uidLastSave="{00000000-0000-0000-0000-000000000000}"/>
  <bookViews>
    <workbookView xWindow="975" yWindow="1560" windowWidth="27825" windowHeight="13680" tabRatio="930" firstSheet="7" activeTab="10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0" r:id="rId16"/>
    <sheet name="17-Uso_SHC" sheetId="21" r:id="rId17"/>
    <sheet name="18-Uso_THC" sheetId="22" r:id="rId18"/>
  </sheets>
  <definedNames>
    <definedName name="DadosExternos_1" localSheetId="0" hidden="1">'1-Financeiro'!$A$1:$B$11</definedName>
    <definedName name="ExternalData_1" localSheetId="9" hidden="1">'10-Balanceamento_SHC'!$A$1:$I$23</definedName>
    <definedName name="ExternalData_1" localSheetId="10" hidden="1">'11-Balanceamento_THC'!$A$1:$I$17</definedName>
    <definedName name="ExternalData_1" localSheetId="11" hidden="1">'12-Fluxo_RegCensitaria'!$A$1:$C$124</definedName>
    <definedName name="ExternalData_1" localSheetId="12" hidden="1">'13-Fluxo_PHC'!$A$1:$C$35</definedName>
    <definedName name="ExternalData_1" localSheetId="13" hidden="1">'14-Fluxo_SHC'!$A$1:$C$37</definedName>
    <definedName name="ExternalData_1" localSheetId="14" hidden="1">'15-Fluxo_THC'!$A$1:$C$24</definedName>
    <definedName name="ExternalData_1" localSheetId="15" hidden="1">'16-Uso_PHC'!$A$1:$D$10</definedName>
    <definedName name="ExternalData_1" localSheetId="16" hidden="1">'17-Uso_SHC'!$A$1:$D$9</definedName>
    <definedName name="ExternalData_1" localSheetId="17" hidden="1">'18-Uso_THC'!$A$1:$D$7</definedName>
    <definedName name="ExternalData_1" localSheetId="1" hidden="1">'2-NovasUnidades'!$A$1:$D$5</definedName>
    <definedName name="ExternalData_1" localSheetId="2" hidden="1">'3-RealocacaoEquipe_PHC'!$A$1:$E$15</definedName>
    <definedName name="ExternalData_1" localSheetId="3" hidden="1">'4-RealocacaoEquipe_SHC'!$A$1:$E$11</definedName>
    <definedName name="ExternalData_1" localSheetId="4" hidden="1">'5-RealocacaoEquipe_THC'!$A$1:$E$8</definedName>
    <definedName name="ExternalData_1" localSheetId="5" hidden="1">'6-ContratacaoEquipe_PHC'!$A$1:$C$3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FB30F04D-9466-4F35-B2A8-D8CE4E2BAD9D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<sst xmlns="http://schemas.openxmlformats.org/spreadsheetml/2006/main" count="1366" uniqueCount="222">
  <si>
    <t>Column1</t>
  </si>
  <si>
    <t>Column2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</si>
  <si>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</si>
  <si>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</si>
  <si>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</si>
  <si>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</si>
  <si>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</si>
  <si>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</si>
  <si>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</si>
  <si>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</si>
  <si>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</si>
  <si>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Column22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</si>
  <si>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</si>
  <si>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</si>
  <si>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</si>
  <si>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</si>
  <si>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</si>
  <si>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</si>
  <si>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</si>
  <si>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</si>
  <si>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Column3</t>
  </si>
  <si>
    <t>Column4</t>
  </si>
  <si>
    <t>Column5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</si>
  <si>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</si>
  <si>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</si>
  <si>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</si>
  <si>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</si>
  <si>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</si>
  <si>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</si>
  <si>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</si>
  <si>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</si>
  <si>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</si>
  <si>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Column6</t>
  </si>
  <si>
    <t>Column7</t>
  </si>
  <si>
    <t>Column8</t>
  </si>
  <si>
    <t>Column9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</si>
  <si>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</si>
  <si>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</si>
  <si>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</si>
  <si>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</si>
  <si>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</si>
  <si>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</si>
  <si>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</si>
  <si>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</si>
  <si>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</si>
  <si>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</si>
  <si>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</si>
  <si>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</si>
  <si>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</si>
  <si>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</si>
  <si>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</si>
  <si>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</si>
  <si>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 xml:space="preserve">[THC1] 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</si>
  <si>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</si>
  <si>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</si>
  <si>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</si>
  <si>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</si>
  <si>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</si>
  <si>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</si>
  <si>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</si>
  <si>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</si>
  <si>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</si>
  <si>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</si>
  <si>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L[SHC1]</t>
  </si>
  <si>
    <t>L[THC1]</t>
  </si>
  <si>
    <t>THC :</t>
  </si>
  <si>
    <t>0</t>
  </si>
  <si>
    <t>0.1</t>
  </si>
  <si>
    <t>0.8</t>
  </si>
  <si>
    <t>5.0</t>
  </si>
  <si>
    <t>3.00</t>
  </si>
  <si>
    <t>2</t>
  </si>
  <si>
    <t>3</t>
  </si>
  <si>
    <t>[PHC1]</t>
  </si>
  <si>
    <t>[PHC3]</t>
  </si>
  <si>
    <t>[PHC5]</t>
  </si>
  <si>
    <t>[PHC2]</t>
  </si>
  <si>
    <t>[PHC4]</t>
  </si>
  <si>
    <t>[PHC6]</t>
  </si>
  <si>
    <t>ME2</t>
  </si>
  <si>
    <t>[SHC3]</t>
  </si>
  <si>
    <t>EF2</t>
  </si>
  <si>
    <t>[SHC4]</t>
  </si>
  <si>
    <t>DE2</t>
  </si>
  <si>
    <t>[SHC2]</t>
  </si>
  <si>
    <t>ME3</t>
  </si>
  <si>
    <t>[THC2]</t>
  </si>
  <si>
    <t>[THC3]</t>
  </si>
  <si>
    <t>EF3</t>
  </si>
  <si>
    <t>DE3</t>
  </si>
  <si>
    <t>[PHC10]*</t>
  </si>
  <si>
    <t>4.0</t>
  </si>
  <si>
    <t>-3.0</t>
  </si>
  <si>
    <t>-2.0</t>
  </si>
  <si>
    <t>0.9</t>
  </si>
  <si>
    <t>[PHC7]*</t>
  </si>
  <si>
    <t>0.4</t>
  </si>
  <si>
    <t>0.66</t>
  </si>
  <si>
    <t>0.3</t>
  </si>
  <si>
    <t>1.3</t>
  </si>
  <si>
    <t>3.3</t>
  </si>
  <si>
    <t>4.3</t>
  </si>
  <si>
    <t>2.3</t>
  </si>
  <si>
    <t>6.0</t>
  </si>
  <si>
    <t>[SHC5]*</t>
  </si>
  <si>
    <t>[SHC6]*</t>
  </si>
  <si>
    <t>0.5</t>
  </si>
  <si>
    <t>0.33</t>
  </si>
  <si>
    <t>0.7</t>
  </si>
  <si>
    <t>0.26</t>
  </si>
  <si>
    <t xml:space="preserve">[THC2] </t>
  </si>
  <si>
    <t xml:space="preserve">[THC3] </t>
  </si>
  <si>
    <t>[THC6]*</t>
  </si>
  <si>
    <t>RC[1]</t>
  </si>
  <si>
    <t>RC[2]</t>
  </si>
  <si>
    <t>L[PHC7]</t>
  </si>
  <si>
    <t>RC[3]</t>
  </si>
  <si>
    <t>L[SHC2]</t>
  </si>
  <si>
    <t>L[SHC4]</t>
  </si>
  <si>
    <t>L[SHC5]</t>
  </si>
  <si>
    <t>RC[4]</t>
  </si>
  <si>
    <t>L[PHC10]</t>
  </si>
  <si>
    <t>RC[5]</t>
  </si>
  <si>
    <t>L[PHC1]</t>
  </si>
  <si>
    <t>RC[6]</t>
  </si>
  <si>
    <t>L[THC3]</t>
  </si>
  <si>
    <t>L[THC6]</t>
  </si>
  <si>
    <t>RC[7]</t>
  </si>
  <si>
    <t>RC[8]</t>
  </si>
  <si>
    <t>RC[9]</t>
  </si>
  <si>
    <t>RC[10]</t>
  </si>
  <si>
    <t>RC[11]</t>
  </si>
  <si>
    <t>RC[12]</t>
  </si>
  <si>
    <t>RC[13]</t>
  </si>
  <si>
    <t>RC[14]</t>
  </si>
  <si>
    <t>L[PHC2]</t>
  </si>
  <si>
    <t>RC[15]</t>
  </si>
  <si>
    <t>L[12]</t>
  </si>
  <si>
    <t>L[15]</t>
  </si>
  <si>
    <t>L[3]</t>
  </si>
  <si>
    <t>L[4]</t>
  </si>
  <si>
    <t>L[1]</t>
  </si>
  <si>
    <t>L[THC2]</t>
  </si>
  <si>
    <t>L[2]</t>
  </si>
  <si>
    <t>L[SHC6]</t>
  </si>
  <si>
    <t>L[7]</t>
  </si>
  <si>
    <t>L[10]</t>
  </si>
  <si>
    <t>L[11]</t>
  </si>
  <si>
    <t>L[8]</t>
  </si>
  <si>
    <t>L[9]</t>
  </si>
  <si>
    <t>L[14]</t>
  </si>
  <si>
    <t>L[SHC3]</t>
  </si>
  <si>
    <t>L[6]</t>
  </si>
  <si>
    <t>L[13]</t>
  </si>
  <si>
    <t>L[5]</t>
  </si>
  <si>
    <t>[PHC7*]:</t>
  </si>
  <si>
    <t>[PHC10*]:</t>
  </si>
  <si>
    <t>15000</t>
  </si>
  <si>
    <t>2000</t>
  </si>
  <si>
    <t>[SHC5*]</t>
  </si>
  <si>
    <t>[SHC6*]</t>
  </si>
  <si>
    <t>1500</t>
  </si>
  <si>
    <t>1000</t>
  </si>
  <si>
    <t>800</t>
  </si>
  <si>
    <t>[THC6*]</t>
  </si>
  <si>
    <t>[SHC8]*</t>
  </si>
  <si>
    <t>L[SHC8]</t>
  </si>
  <si>
    <t>Dist (km)</t>
  </si>
  <si>
    <t>[SHC8*]</t>
  </si>
  <si>
    <t>5.94</t>
  </si>
  <si>
    <t>1.87</t>
  </si>
  <si>
    <t>7.93</t>
  </si>
  <si>
    <t>12.94</t>
  </si>
  <si>
    <t>9.21</t>
  </si>
  <si>
    <t>6.03</t>
  </si>
  <si>
    <t>6.16</t>
  </si>
  <si>
    <t>16.17</t>
  </si>
  <si>
    <t>29.00</t>
  </si>
  <si>
    <t>14.44</t>
  </si>
  <si>
    <t>17.38</t>
  </si>
  <si>
    <t>22.48</t>
  </si>
  <si>
    <t>16.67</t>
  </si>
  <si>
    <t>[THC5]*</t>
  </si>
  <si>
    <t>52.95</t>
  </si>
  <si>
    <t>53.42</t>
  </si>
  <si>
    <t>46.46</t>
  </si>
  <si>
    <t>52.45</t>
  </si>
  <si>
    <t>0.12</t>
  </si>
  <si>
    <t>0.10</t>
  </si>
  <si>
    <t>-4.0</t>
  </si>
  <si>
    <t>0.20</t>
  </si>
  <si>
    <t>0.2</t>
  </si>
  <si>
    <t>0.24</t>
  </si>
  <si>
    <t>5.31</t>
  </si>
  <si>
    <t>0.59</t>
  </si>
  <si>
    <t>4.5</t>
  </si>
  <si>
    <t>1.5</t>
  </si>
  <si>
    <t>0.49</t>
  </si>
  <si>
    <t>L[PHC10] tel</t>
  </si>
  <si>
    <t>L[PHC1] tel</t>
  </si>
  <si>
    <t>L[PHC5]</t>
  </si>
  <si>
    <t>L[PHC5] tel</t>
  </si>
  <si>
    <t>L[SHC1] tel</t>
  </si>
  <si>
    <t>L[SHC2] tel</t>
  </si>
  <si>
    <t>L[SHC4] tel</t>
  </si>
  <si>
    <t>L[SHC5] tel</t>
  </si>
  <si>
    <t>L[THC1] tel</t>
  </si>
  <si>
    <t>L[THC6] tel</t>
  </si>
  <si>
    <t>L[PHC2] tel</t>
  </si>
  <si>
    <t>L[SHC3] tel</t>
  </si>
  <si>
    <t>L[SHC6] tel</t>
  </si>
  <si>
    <t>L[THC5]</t>
  </si>
  <si>
    <t>L[THC3] tel</t>
  </si>
  <si>
    <t>L[THC5] tel</t>
  </si>
  <si>
    <t>L[SHC8] tel</t>
  </si>
  <si>
    <t>L[THC2] tel</t>
  </si>
  <si>
    <t>L[PHC7] tel</t>
  </si>
  <si>
    <t>3158</t>
  </si>
  <si>
    <t>0.53</t>
  </si>
  <si>
    <t>5146</t>
  </si>
  <si>
    <t>0.86</t>
  </si>
  <si>
    <t>[THC5*]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</si>
</sst>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7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94705F3-0679-42D4-BA68-BCBBAF8B3B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1" tableType="queryTable" totalsRowShown="0">
  <autoFilter ref="A1:C11" xr:uid="{4379D004-ADC7-4F7D-BCC8-119DAE469CE9}"/>
  <tableColumns count="3">
    <tableColumn id="1" xr3:uid="{8D204EDA-9717-47F0-8945-6E7D627A38EA}" uniqueName="1" name="Column1" queryTableFieldId="1" dataDxfId="78"/>
    <tableColumn id="2" xr3:uid="{2D489D5F-5BED-4F08-B6BA-156F7196EE9D}" uniqueName="2" name="Column2" queryTableFieldId="2"/>
    <tableColumn id="3" xr3:uid="{B4C70203-1523-4FF1-B1F7-4593D80C9279}" uniqueName="3" name="Column22" queryTableFieldId="3" dataDxfId="10" dataCellStyle="Currency">
      <calculatedColumnFormula>_1_Financeiro[[#This Row],[Column2]]/100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5" tableType="queryTable" totalsRowShown="0">
  <autoFilter ref="A1:D5" xr:uid="{F13E44B4-8E40-4DA2-BC9A-4458FCBED7A9}"/>
  <tableColumns count="4">
    <tableColumn id="1" xr3:uid="{4BFD3CA0-79CF-4D3D-8D34-2A1C8B3DFE3A}" uniqueName="1" name="Column1" queryTableFieldId="1" dataDxfId="77"/>
    <tableColumn id="2" xr3:uid="{EDD878F9-5ECD-45E9-87FA-0760979CBD11}" uniqueName="2" name="Column2" queryTableFieldId="2" dataDxfId="76"/>
    <tableColumn id="3" xr3:uid="{46A9E5DC-CE4F-453E-B91B-868901CFD005}" uniqueName="3" name="Column3" queryTableFieldId="3" dataDxfId="75"/>
    <tableColumn id="4" xr3:uid="{7FE7A357-1739-466E-99AA-F68C26A4E1F3}" uniqueName="4" name="Column4" queryTableFieldId="4" dataDxfId="7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15" tableType="queryTable" totalsRowShown="0" headerRowDxfId="73">
  <autoFilter ref="A1:E15" xr:uid="{1DCAC603-AECA-4137-84F1-56ABD5419EB7}"/>
  <tableColumns count="5">
    <tableColumn id="1" xr3:uid="{6C1FABFC-1509-4A33-AC17-57E18F727D6E}" uniqueName="1" name="Column1" queryTableFieldId="1" dataDxfId="4"/>
    <tableColumn id="2" xr3:uid="{AD55F1BE-CF3F-4312-9851-E29474656393}" uniqueName="2" name="Column2" queryTableFieldId="2" dataDxfId="3"/>
    <tableColumn id="3" xr3:uid="{71888852-C04F-4F16-B6EE-F1E1F098D09A}" uniqueName="3" name="Column3" queryTableFieldId="3" dataDxfId="2"/>
    <tableColumn id="4" xr3:uid="{5D3BF63F-F62F-47BD-B6BE-412DE7A6E273}" uniqueName="4" name="Column4" queryTableFieldId="4" dataDxfId="1"/>
    <tableColumn id="5" xr3:uid="{F8197BD8-2908-4EB3-94DD-90DBCB59998A}" uniqueName="5" name="Column5" queryTableFieldId="5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11" tableType="queryTable" totalsRowShown="0">
  <autoFilter ref="A1:E11" xr:uid="{0576452F-6775-454E-A423-31493D6D88AB}"/>
  <tableColumns count="5">
    <tableColumn id="1" xr3:uid="{69D77FAD-4D10-4D3F-B52A-1E079299D949}" uniqueName="1" name="Column1" queryTableFieldId="1" dataDxfId="72"/>
    <tableColumn id="2" xr3:uid="{2F807417-44F0-4E70-BAF8-1065419905B9}" uniqueName="2" name="Column2" queryTableFieldId="2" dataDxfId="71"/>
    <tableColumn id="3" xr3:uid="{57931240-C8A3-46C8-A82A-BAB4E73B6051}" uniqueName="3" name="Column3" queryTableFieldId="3" dataDxfId="70"/>
    <tableColumn id="4" xr3:uid="{15C6E06E-ECFF-4146-80F1-79A4A3D04F5E}" uniqueName="4" name="Column4" queryTableFieldId="4" dataDxfId="69"/>
    <tableColumn id="5" xr3:uid="{C295CAAC-2217-444C-B8E8-6BB1B7EAC58B}" uniqueName="5" name="Column5" queryTableFieldId="5" dataDxfId="6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8" tableType="queryTable" totalsRowShown="0">
  <autoFilter ref="A1:E8" xr:uid="{6C89BDC3-652B-45B5-BFB4-C101A5BAD969}"/>
  <tableColumns count="5">
    <tableColumn id="1" xr3:uid="{92912319-8F34-4450-BCC8-E4A1B48C6F88}" uniqueName="1" name="Column1" queryTableFieldId="1" dataDxfId="67"/>
    <tableColumn id="2" xr3:uid="{FB1697B4-59E5-4927-A4C5-878BA347F15F}" uniqueName="2" name="Column2" queryTableFieldId="2" dataDxfId="66"/>
    <tableColumn id="3" xr3:uid="{BACD217C-B440-45BB-A346-6FFF96B2E5A6}" uniqueName="3" name="Column3" queryTableFieldId="3" dataDxfId="65"/>
    <tableColumn id="4" xr3:uid="{6D2DDA03-3D58-4FEA-AD7C-58C5F86A8125}" uniqueName="4" name="Column4" queryTableFieldId="4" dataDxfId="64"/>
    <tableColumn id="5" xr3:uid="{252A8127-980B-4C1E-A72D-14C86BA4B7AD}" uniqueName="5" name="Column5" queryTableFieldId="5" dataDxfId="6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3" tableType="queryTable" totalsRowShown="0">
  <autoFilter ref="A1:C3" xr:uid="{88653CE7-50CC-4554-8F77-C1E458D1C2FD}"/>
  <tableColumns count="3">
    <tableColumn id="1" xr3:uid="{2C0932D8-722F-429F-81BE-BF7B4142185F}" uniqueName="1" name="Column1" queryTableFieldId="1" dataDxfId="62"/>
    <tableColumn id="2" xr3:uid="{9F582690-E552-4566-B10C-2B0212AF4F20}" uniqueName="2" name="Column2" queryTableFieldId="2" dataDxfId="61"/>
    <tableColumn id="3" xr3:uid="{848ABC8A-1709-4C69-A45A-270CE1929C2E}" uniqueName="3" name="Column3" queryTableFieldId="3" dataDxfId="6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totalsRowShown="0">
  <autoFilter ref="A1:C2" xr:uid="{0218B997-51B0-47C5-A270-5EC9E5CE087C}"/>
  <tableColumns count="3">
    <tableColumn id="1" xr3:uid="{AD3D4E17-A661-44E6-8B47-747CFC83181D}" uniqueName="1" name="Column1" queryTableFieldId="1" dataDxfId="59"/>
    <tableColumn id="2" xr3:uid="{84F5C2B2-4C7D-4CC4-84F1-3F296FA2F322}" uniqueName="2" name="Column2" queryTableFieldId="2" dataDxfId="58"/>
    <tableColumn id="3" xr3:uid="{22AF8358-3DF6-4F7B-95BF-0E361CCA1CAC}" uniqueName="3" name="Column3" queryTableFieldId="3" dataDxfId="5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totalsRowShown="0">
  <autoFilter ref="A1:C2" xr:uid="{BB144140-D695-4A60-BE67-012EE561F492}"/>
  <tableColumns count="3">
    <tableColumn id="1" xr3:uid="{2C6F4A28-DE6A-4935-8135-DB50608C31A1}" uniqueName="1" name="Column1" queryTableFieldId="1" dataDxfId="56"/>
    <tableColumn id="2" xr3:uid="{D6CB4167-0D83-4273-AB7B-E5F341ED8F1E}" uniqueName="2" name="Column2" queryTableFieldId="2" dataDxfId="55"/>
    <tableColumn id="3" xr3:uid="{B699FE06-7395-45AD-8629-0B34C0AF66C6}" uniqueName="3" name="Column3" queryTableFieldId="3" dataDxfId="5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26" tableType="queryTable" totalsRowShown="0">
  <autoFilter ref="A1:I26" xr:uid="{41B65F2D-ED88-4595-B688-FDE8EBF15CE5}">
    <filterColumn colId="1">
      <filters>
        <filter val="eSF"/>
        <filter val="Team"/>
      </filters>
    </filterColumn>
  </autoFilter>
  <tableColumns count="9">
    <tableColumn id="1" xr3:uid="{8D97739C-1DB6-438F-B531-FEFA487C0287}" uniqueName="1" name="Column1" queryTableFieldId="1" dataDxfId="53"/>
    <tableColumn id="2" xr3:uid="{6A021020-5BB2-40EB-A834-25ADE6BEA5DF}" uniqueName="2" name="Column2" queryTableFieldId="2" dataDxfId="52"/>
    <tableColumn id="3" xr3:uid="{815655C0-A391-4B54-822D-C93FE82AC773}" uniqueName="3" name="Column3" queryTableFieldId="3" dataDxfId="51"/>
    <tableColumn id="4" xr3:uid="{09A16F03-FBB2-4546-9B3B-57D1E2C8BC41}" uniqueName="4" name="Column4" queryTableFieldId="4" dataDxfId="50"/>
    <tableColumn id="5" xr3:uid="{25899D67-DC67-48F4-8BD6-71432D0F0333}" uniqueName="5" name="Column5" queryTableFieldId="5" dataDxfId="49"/>
    <tableColumn id="6" xr3:uid="{1DEF368E-6ED8-4425-ACA4-18A4D9B3CF83}" uniqueName="6" name="Column6" queryTableFieldId="6" dataDxfId="48"/>
    <tableColumn id="7" xr3:uid="{2EDDEA14-1BBE-46B7-99F8-9C633ECD4546}" uniqueName="7" name="Column7" queryTableFieldId="7" dataDxfId="47"/>
    <tableColumn id="8" xr3:uid="{DCEE8071-9031-47ED-B5BC-126F19530575}" uniqueName="8" name="Column8" queryTableFieldId="8" dataDxfId="46"/>
    <tableColumn id="9" xr3:uid="{552FAECA-883C-4B02-8A07-836B0E2E35F8}" uniqueName="9" name="Column9" queryTableFieldId="9" dataDxfId="4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3" tableType="queryTable" totalsRowShown="0">
  <autoFilter ref="A1:I23" xr:uid="{E4043EAE-E06F-4D67-AB34-F35AC3804B8C}"/>
  <tableColumns count="9">
    <tableColumn id="1" xr3:uid="{F6710DB6-E9CA-4502-A358-699364F14895}" uniqueName="1" name="Column1" queryTableFieldId="1" dataDxfId="44"/>
    <tableColumn id="2" xr3:uid="{DDB8A5DC-6457-4DD7-97FA-A41157F2F1CF}" uniqueName="2" name="Column2" queryTableFieldId="2" dataDxfId="43"/>
    <tableColumn id="3" xr3:uid="{819951EB-3968-4B78-8F31-4877DE5CB6BD}" uniqueName="3" name="Column3" queryTableFieldId="3" dataDxfId="42"/>
    <tableColumn id="4" xr3:uid="{4EC5D859-0020-4CC4-A84F-4F2B4C94C71E}" uniqueName="4" name="Column4" queryTableFieldId="4" dataDxfId="41"/>
    <tableColumn id="5" xr3:uid="{2A3483CC-C79D-4D82-9F09-2CF4637CC080}" uniqueName="5" name="Column5" queryTableFieldId="5" dataDxfId="40"/>
    <tableColumn id="6" xr3:uid="{FE343F6F-C838-4159-A6D8-2E4821496C6E}" uniqueName="6" name="Column6" queryTableFieldId="6" dataDxfId="39"/>
    <tableColumn id="7" xr3:uid="{2329DEE0-C1D2-41BE-99E2-663F41C4045A}" uniqueName="7" name="Column7" queryTableFieldId="7" dataDxfId="38"/>
    <tableColumn id="8" xr3:uid="{B8E43D84-5FFA-4D81-BFD3-31D9A13B97A5}" uniqueName="8" name="Column8" queryTableFieldId="8" dataDxfId="37"/>
    <tableColumn id="9" xr3:uid="{1651E549-1046-4AF2-8B36-AB36CDCF8918}" uniqueName="9" name="Column9" queryTableFieldId="9" dataDxfId="3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17" tableType="queryTable" totalsRowShown="0">
  <autoFilter ref="A1:I17" xr:uid="{2EA189A1-B83B-4A52-9832-F22B2076E91E}"/>
  <tableColumns count="9">
    <tableColumn id="1" xr3:uid="{0B03DC44-4A0D-4CA0-BAC6-AEBBC5F10F47}" uniqueName="1" name="Column1" queryTableFieldId="1" dataDxfId="35"/>
    <tableColumn id="2" xr3:uid="{079B2842-E93C-4D2D-B127-CFE18A72FDD1}" uniqueName="2" name="Column2" queryTableFieldId="2" dataDxfId="34"/>
    <tableColumn id="3" xr3:uid="{B4CEAABE-7586-4F05-A3BB-3FA79722625F}" uniqueName="3" name="Column3" queryTableFieldId="3" dataDxfId="33"/>
    <tableColumn id="4" xr3:uid="{438F0E18-43C6-4009-B4E0-9BD32178B5F2}" uniqueName="4" name="Column4" queryTableFieldId="4" dataDxfId="32"/>
    <tableColumn id="5" xr3:uid="{763A533D-8F58-4BB6-9710-E6EA901728B0}" uniqueName="5" name="Column5" queryTableFieldId="5" dataDxfId="31"/>
    <tableColumn id="6" xr3:uid="{8846DD38-D03D-45E6-901A-4667F487EF86}" uniqueName="6" name="Column6" queryTableFieldId="6" dataDxfId="30"/>
    <tableColumn id="7" xr3:uid="{982F1579-0A7A-4F5E-88D8-A2C54F4629CA}" uniqueName="7" name="Column7" queryTableFieldId="7" dataDxfId="29"/>
    <tableColumn id="8" xr3:uid="{EB6E017F-0891-4A16-8616-899100C83327}" uniqueName="8" name="Column8" queryTableFieldId="8" dataDxfId="28"/>
    <tableColumn id="9" xr3:uid="{A0E783BF-3421-4B85-B709-124DE915D47F}" uniqueName="9" name="Column9" queryTableFieldId="9" dataDxfId="2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C124" tableType="queryTable" totalsRowShown="0">
  <autoFilter ref="A1:C124" xr:uid="{3E6E97C7-BD67-4422-B8D3-B0D3A3EBF2B3}"/>
  <tableColumns count="3">
    <tableColumn id="1" xr3:uid="{AB0CE05A-A806-448C-B811-2081B34490A5}" uniqueName="1" name="Column1" queryTableFieldId="1" dataDxfId="9"/>
    <tableColumn id="2" xr3:uid="{C3952595-36C5-48CA-87DF-17D25A061E96}" uniqueName="2" name="Column2" queryTableFieldId="2" dataDxfId="8"/>
    <tableColumn id="3" xr3:uid="{5458F01A-09C7-4ED9-A7A8-4D5CAABA38E0}" uniqueName="3" name="Column3" queryTableFieldId="3" dataDxf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C35" tableType="queryTable" totalsRowShown="0">
  <autoFilter ref="A1:C35" xr:uid="{0EFE13FE-6E98-4201-BD11-DDA2F88CCEFF}"/>
  <tableColumns count="3">
    <tableColumn id="1" xr3:uid="{BCD8898A-CAC9-476F-BDC9-D4B02FC8AA5B}" uniqueName="1" name="Column1" queryTableFieldId="1" dataDxfId="26"/>
    <tableColumn id="2" xr3:uid="{74C9AA7C-4CF9-4922-AF75-4A9C6C7F43C8}" uniqueName="2" name="Column2" queryTableFieldId="2" dataDxfId="25"/>
    <tableColumn id="3" xr3:uid="{510C714F-9578-40FB-8247-9FC977BE601E}" uniqueName="3" name="Column3" queryTableField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C37" tableType="queryTable" totalsRowShown="0">
  <autoFilter ref="A1:C37" xr:uid="{862C0F51-C62E-4330-942B-AE0B4D068168}"/>
  <tableColumns count="3">
    <tableColumn id="1" xr3:uid="{65168CBA-8730-46EA-9C7F-90607F97CE66}" uniqueName="1" name="Column1" queryTableFieldId="1" dataDxfId="6"/>
    <tableColumn id="2" xr3:uid="{7A03332E-7FE7-47D0-BCE1-BF0B740A92F3}" uniqueName="2" name="Column2" queryTableFieldId="2" dataDxfId="5"/>
    <tableColumn id="3" xr3:uid="{1EEABD5D-D8D7-444B-A3F2-51B4B6EABE37}" uniqueName="3" name="Column3" queryTableFieldId="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C24" tableType="queryTable" totalsRowShown="0">
  <autoFilter ref="A1:C24" xr:uid="{59C17923-B731-4732-BB9C-E59FB46DB15D}"/>
  <tableColumns count="3">
    <tableColumn id="1" xr3:uid="{F7520ACB-6859-43CD-8D83-061885088C5F}" uniqueName="1" name="Column1" queryTableFieldId="1" dataDxfId="24"/>
    <tableColumn id="2" xr3:uid="{4B1ADB87-A9E2-4EBE-9E23-C06E9AD24E49}" uniqueName="2" name="Column2" queryTableFieldId="2" dataDxfId="23"/>
    <tableColumn id="3" xr3:uid="{07DEDA33-958D-4739-A4BA-D4761646204A}" uniqueName="3" name="Column3" queryTableFieldId="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868F86C-C4F0-493B-B198-A9EDE0FD0F7A}" name="_16_Uso_PHC" displayName="_16_Uso_PHC" ref="A1:D10" tableType="queryTable" totalsRowShown="0">
  <autoFilter ref="A1:D10" xr:uid="{C868F86C-C4F0-493B-B198-A9EDE0FD0F7A}"/>
  <tableColumns count="4">
    <tableColumn id="1" xr3:uid="{5939E453-B986-4188-85A8-ABA5740B1A8A}" uniqueName="1" name="Column1" queryTableFieldId="1" dataDxfId="22"/>
    <tableColumn id="2" xr3:uid="{B1BC6394-B29E-47B8-8F7E-253DF4D1AA01}" uniqueName="2" name="Column2" queryTableFieldId="2" dataDxfId="21"/>
    <tableColumn id="3" xr3:uid="{7D9DDBFA-4D7E-4D63-9CC7-3A2F4840B4B9}" uniqueName="3" name="Column3" queryTableFieldId="3" dataDxfId="20"/>
    <tableColumn id="4" xr3:uid="{396CC55D-7556-4268-A7CC-E933239406C1}" uniqueName="4" name="Column4" queryTableFieldId="4" dataDxfId="19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9" tableType="queryTable" totalsRowShown="0">
  <autoFilter ref="A1:D9" xr:uid="{12A6E2BE-7637-4FA8-9DB3-19CFBE301982}"/>
  <tableColumns count="4">
    <tableColumn id="1" xr3:uid="{166437D4-A26E-4CCB-86BF-7BC36C6E0F6C}" uniqueName="1" name="Column1" queryTableFieldId="1" dataDxfId="18"/>
    <tableColumn id="2" xr3:uid="{65BBD38B-16CA-48D0-9B8B-9E6FF28E955D}" uniqueName="2" name="Column2" queryTableFieldId="2" dataDxfId="17"/>
    <tableColumn id="3" xr3:uid="{9F1B8D2B-2535-46F7-93C4-CC91B04863FE}" uniqueName="3" name="Column3" queryTableFieldId="3" dataDxfId="16"/>
    <tableColumn id="4" xr3:uid="{C774CF82-9B6D-4792-A3B8-42542530202D}" uniqueName="4" name="Column4" queryTableFieldId="4" dataDxfId="15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7" tableType="queryTable" totalsRowShown="0">
  <autoFilter ref="A1:D7" xr:uid="{47D7E6A7-719A-4B25-A23B-70689E739178}"/>
  <tableColumns count="4">
    <tableColumn id="1" xr3:uid="{AA234E07-B2F0-404B-B093-5E999167A59E}" uniqueName="1" name="Column1" queryTableFieldId="1" dataDxfId="14"/>
    <tableColumn id="2" xr3:uid="{E06BFEAB-87A2-4E04-B16F-079B5EB5024B}" uniqueName="2" name="Column2" queryTableFieldId="2" dataDxfId="13"/>
    <tableColumn id="3" xr3:uid="{90C32827-1611-47BB-95A1-DF54BEE3ED97}" uniqueName="3" name="Column3" queryTableFieldId="3" dataDxfId="12"/>
    <tableColumn id="4" xr3:uid="{92EEC8E9-509D-4B04-99AE-BC18E1B610E3}" uniqueName="4" name="Column4" queryTableFieldId="4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1"/>
  <sheetViews>
    <sheetView workbookViewId="0">
      <selection activeCell="C1" sqref="C1"/>
    </sheetView>
  </sheetViews>
  <sheetFormatPr defaultRowHeight="15" x14ac:dyDescent="0.25"/>
  <cols>
    <col min="1" max="1" width="21.140625" bestFit="1" customWidth="1"/>
    <col min="2" max="2" width="11.42578125" hidden="1" customWidth="1"/>
    <col min="3" max="3" width="18" bestFit="1" customWidth="1"/>
    <col min="13" max="13" width="12" customWidth="1"/>
  </cols>
  <sheetData>
    <row r="1" spans="1:13" x14ac:dyDescent="0.25">
      <c r="A1" t="s">
        <v>0</v>
      </c>
      <c r="B1" t="s">
        <v>1</v>
      </c>
      <c r="C1" t="s">
        <v>11</v>
      </c>
    </row>
    <row r="2" spans="1:13" x14ac:dyDescent="0.25">
      <c r="A2" t="s">
        <v>2</v>
      </c>
      <c r="B2">
        <v>59571251</v>
      </c>
      <c r="C2" s="1">
        <f>_1_Financeiro[[#This Row],[Column2]]/100</f>
        <v>595712.51</v>
      </c>
    </row>
    <row r="3" spans="1:13" x14ac:dyDescent="0.25">
      <c r="A3" t="s">
        <v>3</v>
      </c>
      <c r="B3">
        <v>17631070000</v>
      </c>
      <c r="C3" s="1">
        <f>_1_Financeiro[[#This Row],[Column2]]/100</f>
        <v>176310700</v>
      </c>
    </row>
    <row r="4" spans="1:13" x14ac:dyDescent="0.25">
      <c r="A4" t="s">
        <v>4</v>
      </c>
      <c r="B4">
        <v>96467600</v>
      </c>
      <c r="C4" s="1">
        <f>_1_Financeiro[[#This Row],[Column2]]/100</f>
        <v>964676</v>
      </c>
    </row>
    <row r="5" spans="1:13" x14ac:dyDescent="0.25">
      <c r="A5" t="s">
        <v>5</v>
      </c>
      <c r="B5">
        <v>60000000</v>
      </c>
      <c r="C5" s="1">
        <f>_1_Financeiro[[#This Row],[Column2]]/100</f>
        <v>600000</v>
      </c>
    </row>
    <row r="6" spans="1:13" x14ac:dyDescent="0.25">
      <c r="A6" t="s">
        <v>6</v>
      </c>
      <c r="B6">
        <v>72880</v>
      </c>
      <c r="C6" s="1">
        <f>_1_Financeiro[[#This Row],[Column2]]/100</f>
        <v>728.8</v>
      </c>
    </row>
    <row r="7" spans="1:13" x14ac:dyDescent="0.25">
      <c r="A7" t="s">
        <v>7</v>
      </c>
      <c r="B7">
        <v>35291241</v>
      </c>
      <c r="C7" s="1">
        <f>_1_Financeiro[[#This Row],[Column2]]/100</f>
        <v>352912.41</v>
      </c>
    </row>
    <row r="8" spans="1:13" x14ac:dyDescent="0.25">
      <c r="A8" t="s">
        <v>8</v>
      </c>
      <c r="B8">
        <v>17883542972</v>
      </c>
      <c r="C8" s="1">
        <f>_1_Financeiro[[#This Row],[Column2]]/100</f>
        <v>178835429.72</v>
      </c>
      <c r="M8" s="3"/>
    </row>
    <row r="9" spans="1:13" x14ac:dyDescent="0.25">
      <c r="A9" t="s">
        <v>9</v>
      </c>
      <c r="B9">
        <v>17822901722</v>
      </c>
      <c r="C9" s="1">
        <f>_1_Financeiro[[#This Row],[Column2]]/100</f>
        <v>178229017.22</v>
      </c>
      <c r="M9" s="3"/>
    </row>
    <row r="10" spans="1:13" x14ac:dyDescent="0.25">
      <c r="A10" t="s">
        <v>10</v>
      </c>
      <c r="B10">
        <v>20000000000</v>
      </c>
      <c r="C10" s="1">
        <f>_1_Financeiro[[#This Row],[Column2]]/100</f>
        <v>200000000</v>
      </c>
      <c r="M10" s="4"/>
    </row>
    <row r="11" spans="1:13" x14ac:dyDescent="0.25">
      <c r="A11" t="s">
        <v>29</v>
      </c>
      <c r="B11">
        <v>89</v>
      </c>
      <c r="C11" s="2">
        <f>_1_Financeiro[[#This Row],[Column2]]/100</f>
        <v>0.89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5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  <row r="3" spans="1:4" x14ac:dyDescent="0.25">
      <c r="A3" t="s">
        <v>16</v>
      </c>
      <c r="B3" t="s">
        <v>71</v>
      </c>
      <c r="C3" t="s">
        <v>71</v>
      </c>
      <c r="D3" t="s">
        <v>18</v>
      </c>
    </row>
    <row r="4" spans="1:4" x14ac:dyDescent="0.25">
      <c r="A4" t="s">
        <v>17</v>
      </c>
      <c r="B4" t="s">
        <v>72</v>
      </c>
      <c r="C4" t="s">
        <v>72</v>
      </c>
      <c r="D4" t="s">
        <v>18</v>
      </c>
    </row>
    <row r="5" spans="1:4" x14ac:dyDescent="0.25">
      <c r="A5" t="s">
        <v>65</v>
      </c>
      <c r="B5" t="s">
        <v>71</v>
      </c>
      <c r="C5" t="s">
        <v>71</v>
      </c>
      <c r="D5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15"/>
  <sheetViews>
    <sheetView workbookViewId="0">
      <selection activeCell="D7" sqref="D7"/>
    </sheetView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s="5" t="s">
        <v>23</v>
      </c>
      <c r="B2" s="5" t="s">
        <v>24</v>
      </c>
      <c r="C2" s="5" t="s">
        <v>25</v>
      </c>
      <c r="D2" s="5" t="s">
        <v>13</v>
      </c>
      <c r="E2" s="5" t="s">
        <v>167</v>
      </c>
    </row>
    <row r="3" spans="1:5" x14ac:dyDescent="0.25">
      <c r="A3" s="5" t="s">
        <v>73</v>
      </c>
      <c r="B3" s="5" t="s">
        <v>90</v>
      </c>
      <c r="C3" s="5" t="s">
        <v>26</v>
      </c>
      <c r="D3" s="5" t="s">
        <v>70</v>
      </c>
      <c r="E3" s="5" t="s">
        <v>169</v>
      </c>
    </row>
    <row r="4" spans="1:5" x14ac:dyDescent="0.25">
      <c r="A4" s="5" t="s">
        <v>74</v>
      </c>
      <c r="B4" s="5" t="s">
        <v>75</v>
      </c>
      <c r="C4" s="5" t="s">
        <v>26</v>
      </c>
      <c r="D4" s="5" t="s">
        <v>18</v>
      </c>
      <c r="E4" s="5" t="s">
        <v>170</v>
      </c>
    </row>
    <row r="5" spans="1:5" x14ac:dyDescent="0.25">
      <c r="A5" s="5" t="s">
        <v>74</v>
      </c>
      <c r="B5" s="5" t="s">
        <v>95</v>
      </c>
      <c r="C5" s="5" t="s">
        <v>26</v>
      </c>
      <c r="D5" s="5" t="s">
        <v>27</v>
      </c>
      <c r="E5" s="5" t="s">
        <v>171</v>
      </c>
    </row>
    <row r="6" spans="1:5" x14ac:dyDescent="0.25">
      <c r="A6" s="5" t="s">
        <v>74</v>
      </c>
      <c r="B6" s="5" t="s">
        <v>90</v>
      </c>
      <c r="C6" s="5" t="s">
        <v>26</v>
      </c>
      <c r="D6" s="5" t="s">
        <v>18</v>
      </c>
      <c r="E6" s="5" t="s">
        <v>172</v>
      </c>
    </row>
    <row r="7" spans="1:5" x14ac:dyDescent="0.25">
      <c r="A7" s="5" t="s">
        <v>75</v>
      </c>
      <c r="B7" s="5" t="s">
        <v>90</v>
      </c>
      <c r="C7" s="5" t="s">
        <v>26</v>
      </c>
      <c r="D7" s="5" t="s">
        <v>18</v>
      </c>
      <c r="E7" s="5" t="s">
        <v>173</v>
      </c>
    </row>
    <row r="8" spans="1:5" x14ac:dyDescent="0.25">
      <c r="A8" s="5" t="s">
        <v>78</v>
      </c>
      <c r="B8" s="5" t="s">
        <v>90</v>
      </c>
      <c r="C8" s="5" t="s">
        <v>26</v>
      </c>
      <c r="D8" s="5" t="s">
        <v>18</v>
      </c>
      <c r="E8" s="5" t="s">
        <v>174</v>
      </c>
    </row>
    <row r="9" spans="1:5" x14ac:dyDescent="0.25">
      <c r="A9" s="5" t="s">
        <v>73</v>
      </c>
      <c r="B9" s="5" t="s">
        <v>75</v>
      </c>
      <c r="C9" s="5" t="s">
        <v>28</v>
      </c>
      <c r="D9" s="5" t="s">
        <v>18</v>
      </c>
      <c r="E9" s="5" t="s">
        <v>175</v>
      </c>
    </row>
    <row r="10" spans="1:5" x14ac:dyDescent="0.25">
      <c r="A10" s="5" t="s">
        <v>76</v>
      </c>
      <c r="B10" s="5" t="s">
        <v>90</v>
      </c>
      <c r="C10" s="5" t="s">
        <v>28</v>
      </c>
      <c r="D10" s="5" t="s">
        <v>27</v>
      </c>
      <c r="E10" s="5" t="s">
        <v>176</v>
      </c>
    </row>
    <row r="11" spans="1:5" x14ac:dyDescent="0.25">
      <c r="A11" s="5" t="s">
        <v>74</v>
      </c>
      <c r="B11" s="5" t="s">
        <v>95</v>
      </c>
      <c r="C11" s="5" t="s">
        <v>28</v>
      </c>
      <c r="D11" s="5" t="s">
        <v>18</v>
      </c>
      <c r="E11" s="5" t="s">
        <v>171</v>
      </c>
    </row>
    <row r="12" spans="1:5" x14ac:dyDescent="0.25">
      <c r="A12" s="5" t="s">
        <v>77</v>
      </c>
      <c r="B12" s="5" t="s">
        <v>90</v>
      </c>
      <c r="C12" s="5" t="s">
        <v>28</v>
      </c>
      <c r="D12" s="5" t="s">
        <v>70</v>
      </c>
      <c r="E12" s="5" t="s">
        <v>177</v>
      </c>
    </row>
    <row r="13" spans="1:5" x14ac:dyDescent="0.25">
      <c r="A13" s="5" t="s">
        <v>78</v>
      </c>
      <c r="B13" s="5" t="s">
        <v>95</v>
      </c>
      <c r="C13" s="5" t="s">
        <v>28</v>
      </c>
      <c r="D13" s="5" t="s">
        <v>18</v>
      </c>
      <c r="E13" s="5" t="s">
        <v>178</v>
      </c>
    </row>
    <row r="14" spans="1:5" x14ac:dyDescent="0.25">
      <c r="A14" s="5" t="s">
        <v>77</v>
      </c>
      <c r="B14" s="5" t="s">
        <v>90</v>
      </c>
      <c r="C14" s="5" t="s">
        <v>46</v>
      </c>
      <c r="D14" s="5" t="s">
        <v>18</v>
      </c>
      <c r="E14" s="5" t="s">
        <v>177</v>
      </c>
    </row>
    <row r="15" spans="1:5" x14ac:dyDescent="0.25">
      <c r="A15" s="5" t="s">
        <v>78</v>
      </c>
      <c r="B15" s="5" t="s">
        <v>95</v>
      </c>
      <c r="C15" s="5" t="s">
        <v>46</v>
      </c>
      <c r="D15" s="5" t="s">
        <v>18</v>
      </c>
      <c r="E15" s="5" t="s">
        <v>178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1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13</v>
      </c>
      <c r="E2" t="s">
        <v>167</v>
      </c>
    </row>
    <row r="3" spans="1:5" x14ac:dyDescent="0.25">
      <c r="A3" t="s">
        <v>84</v>
      </c>
      <c r="B3" t="s">
        <v>105</v>
      </c>
      <c r="C3" t="s">
        <v>79</v>
      </c>
      <c r="D3" t="s">
        <v>18</v>
      </c>
      <c r="E3" t="s">
        <v>179</v>
      </c>
    </row>
    <row r="4" spans="1:5" x14ac:dyDescent="0.25">
      <c r="A4" t="s">
        <v>80</v>
      </c>
      <c r="B4" t="s">
        <v>104</v>
      </c>
      <c r="C4" t="s">
        <v>79</v>
      </c>
      <c r="D4" t="s">
        <v>18</v>
      </c>
      <c r="E4" t="s">
        <v>180</v>
      </c>
    </row>
    <row r="5" spans="1:5" x14ac:dyDescent="0.25">
      <c r="A5" t="s">
        <v>82</v>
      </c>
      <c r="B5" t="s">
        <v>165</v>
      </c>
      <c r="C5" t="s">
        <v>79</v>
      </c>
      <c r="D5" t="s">
        <v>18</v>
      </c>
      <c r="E5" t="s">
        <v>181</v>
      </c>
    </row>
    <row r="6" spans="1:5" x14ac:dyDescent="0.25">
      <c r="A6" t="s">
        <v>84</v>
      </c>
      <c r="B6" t="s">
        <v>105</v>
      </c>
      <c r="C6" t="s">
        <v>81</v>
      </c>
      <c r="D6" t="s">
        <v>18</v>
      </c>
      <c r="E6" t="s">
        <v>179</v>
      </c>
    </row>
    <row r="7" spans="1:5" x14ac:dyDescent="0.25">
      <c r="A7" t="s">
        <v>80</v>
      </c>
      <c r="B7" t="s">
        <v>104</v>
      </c>
      <c r="C7" t="s">
        <v>81</v>
      </c>
      <c r="D7" t="s">
        <v>18</v>
      </c>
      <c r="E7" t="s">
        <v>180</v>
      </c>
    </row>
    <row r="8" spans="1:5" x14ac:dyDescent="0.25">
      <c r="A8" t="s">
        <v>82</v>
      </c>
      <c r="B8" t="s">
        <v>165</v>
      </c>
      <c r="C8" t="s">
        <v>81</v>
      </c>
      <c r="D8" t="s">
        <v>18</v>
      </c>
      <c r="E8" t="s">
        <v>181</v>
      </c>
    </row>
    <row r="9" spans="1:5" x14ac:dyDescent="0.25">
      <c r="A9" t="s">
        <v>84</v>
      </c>
      <c r="B9" t="s">
        <v>105</v>
      </c>
      <c r="C9" t="s">
        <v>83</v>
      </c>
      <c r="D9" t="s">
        <v>18</v>
      </c>
      <c r="E9" t="s">
        <v>179</v>
      </c>
    </row>
    <row r="10" spans="1:5" x14ac:dyDescent="0.25">
      <c r="A10" t="s">
        <v>80</v>
      </c>
      <c r="B10" t="s">
        <v>104</v>
      </c>
      <c r="C10" t="s">
        <v>83</v>
      </c>
      <c r="D10" t="s">
        <v>18</v>
      </c>
      <c r="E10" t="s">
        <v>180</v>
      </c>
    </row>
    <row r="11" spans="1:5" x14ac:dyDescent="0.25">
      <c r="A11" t="s">
        <v>82</v>
      </c>
      <c r="B11" t="s">
        <v>165</v>
      </c>
      <c r="C11" t="s">
        <v>83</v>
      </c>
      <c r="D11" t="s">
        <v>18</v>
      </c>
      <c r="E11" t="s">
        <v>181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8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13</v>
      </c>
      <c r="E2" t="s">
        <v>167</v>
      </c>
    </row>
    <row r="3" spans="1:5" x14ac:dyDescent="0.25">
      <c r="A3" t="s">
        <v>30</v>
      </c>
      <c r="B3" t="s">
        <v>182</v>
      </c>
      <c r="C3" t="s">
        <v>85</v>
      </c>
      <c r="D3" t="s">
        <v>18</v>
      </c>
      <c r="E3" t="s">
        <v>183</v>
      </c>
    </row>
    <row r="4" spans="1:5" x14ac:dyDescent="0.25">
      <c r="A4" t="s">
        <v>86</v>
      </c>
      <c r="B4" t="s">
        <v>112</v>
      </c>
      <c r="C4" t="s">
        <v>85</v>
      </c>
      <c r="D4" t="s">
        <v>18</v>
      </c>
      <c r="E4" t="s">
        <v>184</v>
      </c>
    </row>
    <row r="5" spans="1:5" x14ac:dyDescent="0.25">
      <c r="A5" t="s">
        <v>30</v>
      </c>
      <c r="B5" t="s">
        <v>112</v>
      </c>
      <c r="C5" t="s">
        <v>88</v>
      </c>
      <c r="D5" t="s">
        <v>18</v>
      </c>
      <c r="E5" t="s">
        <v>185</v>
      </c>
    </row>
    <row r="6" spans="1:5" x14ac:dyDescent="0.25">
      <c r="A6" t="s">
        <v>87</v>
      </c>
      <c r="B6" t="s">
        <v>182</v>
      </c>
      <c r="C6" t="s">
        <v>88</v>
      </c>
      <c r="D6" t="s">
        <v>18</v>
      </c>
      <c r="E6" t="s">
        <v>186</v>
      </c>
    </row>
    <row r="7" spans="1:5" x14ac:dyDescent="0.25">
      <c r="A7" t="s">
        <v>30</v>
      </c>
      <c r="B7" t="s">
        <v>112</v>
      </c>
      <c r="C7" t="s">
        <v>89</v>
      </c>
      <c r="D7" t="s">
        <v>18</v>
      </c>
      <c r="E7" t="s">
        <v>185</v>
      </c>
    </row>
    <row r="8" spans="1:5" x14ac:dyDescent="0.25">
      <c r="A8" t="s">
        <v>87</v>
      </c>
      <c r="B8" t="s">
        <v>182</v>
      </c>
      <c r="C8" t="s">
        <v>89</v>
      </c>
      <c r="D8" t="s">
        <v>18</v>
      </c>
      <c r="E8" t="s">
        <v>186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3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t="s">
        <v>31</v>
      </c>
      <c r="B2" t="s">
        <v>25</v>
      </c>
      <c r="C2" t="s">
        <v>13</v>
      </c>
    </row>
    <row r="3" spans="1:3" x14ac:dyDescent="0.25">
      <c r="A3" t="s">
        <v>73</v>
      </c>
      <c r="B3" t="s">
        <v>28</v>
      </c>
      <c r="C3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t="s">
        <v>31</v>
      </c>
      <c r="B2" t="s">
        <v>25</v>
      </c>
      <c r="C2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t="s">
        <v>31</v>
      </c>
      <c r="B2" t="s">
        <v>25</v>
      </c>
      <c r="C2" t="s">
        <v>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26"/>
  <sheetViews>
    <sheetView workbookViewId="0">
      <selection activeCell="E68" sqref="E68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t="s">
        <v>36</v>
      </c>
      <c r="B2" t="s">
        <v>25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</row>
    <row r="3" spans="1:9" x14ac:dyDescent="0.25">
      <c r="A3" t="s">
        <v>73</v>
      </c>
      <c r="B3" t="s">
        <v>26</v>
      </c>
      <c r="C3" t="s">
        <v>91</v>
      </c>
      <c r="D3" t="s">
        <v>18</v>
      </c>
      <c r="E3" t="s">
        <v>92</v>
      </c>
      <c r="F3" t="s">
        <v>44</v>
      </c>
      <c r="G3" t="s">
        <v>45</v>
      </c>
      <c r="H3" t="s">
        <v>44</v>
      </c>
      <c r="I3" t="s">
        <v>44</v>
      </c>
    </row>
    <row r="4" spans="1:9" hidden="1" x14ac:dyDescent="0.25">
      <c r="A4" t="s">
        <v>73</v>
      </c>
      <c r="B4" t="s">
        <v>28</v>
      </c>
      <c r="C4" t="s">
        <v>45</v>
      </c>
      <c r="D4" t="s">
        <v>18</v>
      </c>
      <c r="E4" t="s">
        <v>50</v>
      </c>
      <c r="F4" t="s">
        <v>45</v>
      </c>
      <c r="G4" t="s">
        <v>45</v>
      </c>
      <c r="H4" t="s">
        <v>44</v>
      </c>
      <c r="I4" t="s">
        <v>44</v>
      </c>
    </row>
    <row r="5" spans="1:9" hidden="1" x14ac:dyDescent="0.25">
      <c r="A5" t="s">
        <v>73</v>
      </c>
      <c r="B5" t="s">
        <v>46</v>
      </c>
      <c r="C5" t="s">
        <v>45</v>
      </c>
      <c r="D5" t="s">
        <v>187</v>
      </c>
      <c r="E5" t="s">
        <v>44</v>
      </c>
      <c r="F5" t="s">
        <v>44</v>
      </c>
      <c r="G5" t="s">
        <v>45</v>
      </c>
      <c r="H5" t="s">
        <v>94</v>
      </c>
      <c r="I5" t="s">
        <v>44</v>
      </c>
    </row>
    <row r="6" spans="1:9" x14ac:dyDescent="0.25">
      <c r="A6" t="s">
        <v>76</v>
      </c>
      <c r="B6" t="s">
        <v>26</v>
      </c>
      <c r="C6" t="s">
        <v>45</v>
      </c>
      <c r="D6" t="s">
        <v>18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</row>
    <row r="7" spans="1:9" hidden="1" x14ac:dyDescent="0.25">
      <c r="A7" t="s">
        <v>76</v>
      </c>
      <c r="B7" t="s">
        <v>28</v>
      </c>
      <c r="C7" t="s">
        <v>49</v>
      </c>
      <c r="D7" t="s">
        <v>18</v>
      </c>
      <c r="E7" t="s">
        <v>93</v>
      </c>
      <c r="F7" t="s">
        <v>44</v>
      </c>
      <c r="G7" t="s">
        <v>45</v>
      </c>
      <c r="H7" t="s">
        <v>44</v>
      </c>
      <c r="I7" t="s">
        <v>44</v>
      </c>
    </row>
    <row r="8" spans="1:9" hidden="1" x14ac:dyDescent="0.25">
      <c r="A8" t="s">
        <v>76</v>
      </c>
      <c r="B8" t="s">
        <v>46</v>
      </c>
      <c r="C8" t="s">
        <v>44</v>
      </c>
      <c r="D8" t="s">
        <v>188</v>
      </c>
      <c r="E8" t="s">
        <v>44</v>
      </c>
      <c r="F8" t="s">
        <v>44</v>
      </c>
      <c r="G8" t="s">
        <v>44</v>
      </c>
      <c r="H8" t="s">
        <v>44</v>
      </c>
      <c r="I8" t="s">
        <v>67</v>
      </c>
    </row>
    <row r="9" spans="1:9" x14ac:dyDescent="0.25">
      <c r="A9" t="s">
        <v>74</v>
      </c>
      <c r="B9" t="s">
        <v>26</v>
      </c>
      <c r="C9" t="s">
        <v>91</v>
      </c>
      <c r="D9" t="s">
        <v>47</v>
      </c>
      <c r="E9" t="s">
        <v>189</v>
      </c>
      <c r="F9" t="s">
        <v>44</v>
      </c>
      <c r="G9" t="s">
        <v>44</v>
      </c>
      <c r="H9" t="s">
        <v>44</v>
      </c>
      <c r="I9" t="s">
        <v>44</v>
      </c>
    </row>
    <row r="10" spans="1:9" hidden="1" x14ac:dyDescent="0.25">
      <c r="A10" t="s">
        <v>74</v>
      </c>
      <c r="B10" t="s">
        <v>28</v>
      </c>
      <c r="C10" t="s">
        <v>45</v>
      </c>
      <c r="D10" t="s">
        <v>47</v>
      </c>
      <c r="E10" t="s">
        <v>50</v>
      </c>
      <c r="F10" t="s">
        <v>44</v>
      </c>
      <c r="G10" t="s">
        <v>44</v>
      </c>
      <c r="H10" t="s">
        <v>44</v>
      </c>
      <c r="I10" t="s">
        <v>44</v>
      </c>
    </row>
    <row r="11" spans="1:9" hidden="1" x14ac:dyDescent="0.25">
      <c r="A11" t="s">
        <v>74</v>
      </c>
      <c r="B11" t="s">
        <v>46</v>
      </c>
      <c r="C11" t="s">
        <v>44</v>
      </c>
      <c r="D11" t="s">
        <v>47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</row>
    <row r="12" spans="1:9" x14ac:dyDescent="0.25">
      <c r="A12" t="s">
        <v>77</v>
      </c>
      <c r="B12" t="s">
        <v>26</v>
      </c>
      <c r="C12" t="s">
        <v>45</v>
      </c>
      <c r="D12" t="s">
        <v>47</v>
      </c>
      <c r="E12" t="s">
        <v>44</v>
      </c>
      <c r="F12" t="s">
        <v>44</v>
      </c>
      <c r="G12" t="s">
        <v>45</v>
      </c>
      <c r="H12" t="s">
        <v>45</v>
      </c>
      <c r="I12" t="s">
        <v>44</v>
      </c>
    </row>
    <row r="13" spans="1:9" hidden="1" x14ac:dyDescent="0.25">
      <c r="A13" t="s">
        <v>77</v>
      </c>
      <c r="B13" t="s">
        <v>28</v>
      </c>
      <c r="C13" t="s">
        <v>49</v>
      </c>
      <c r="D13" t="s">
        <v>47</v>
      </c>
      <c r="E13" t="s">
        <v>92</v>
      </c>
      <c r="F13" t="s">
        <v>44</v>
      </c>
      <c r="G13" t="s">
        <v>44</v>
      </c>
      <c r="H13" t="s">
        <v>44</v>
      </c>
      <c r="I13" t="s">
        <v>44</v>
      </c>
    </row>
    <row r="14" spans="1:9" hidden="1" x14ac:dyDescent="0.25">
      <c r="A14" t="s">
        <v>77</v>
      </c>
      <c r="B14" t="s">
        <v>46</v>
      </c>
      <c r="C14" t="s">
        <v>45</v>
      </c>
      <c r="D14" t="s">
        <v>47</v>
      </c>
      <c r="E14" t="s">
        <v>50</v>
      </c>
      <c r="F14" t="s">
        <v>44</v>
      </c>
      <c r="G14" t="s">
        <v>44</v>
      </c>
      <c r="H14" t="s">
        <v>44</v>
      </c>
      <c r="I14" t="s">
        <v>44</v>
      </c>
    </row>
    <row r="15" spans="1:9" x14ac:dyDescent="0.25">
      <c r="A15" t="s">
        <v>75</v>
      </c>
      <c r="B15" t="s">
        <v>26</v>
      </c>
      <c r="C15" t="s">
        <v>48</v>
      </c>
      <c r="D15" t="s">
        <v>27</v>
      </c>
      <c r="E15" t="s">
        <v>44</v>
      </c>
      <c r="F15" t="s">
        <v>44</v>
      </c>
      <c r="G15" t="s">
        <v>48</v>
      </c>
      <c r="H15" t="s">
        <v>44</v>
      </c>
      <c r="I15" t="s">
        <v>44</v>
      </c>
    </row>
    <row r="16" spans="1:9" hidden="1" x14ac:dyDescent="0.25">
      <c r="A16" t="s">
        <v>75</v>
      </c>
      <c r="B16" t="s">
        <v>28</v>
      </c>
      <c r="C16" t="s">
        <v>45</v>
      </c>
      <c r="D16" t="s">
        <v>27</v>
      </c>
      <c r="E16" t="s">
        <v>45</v>
      </c>
      <c r="F16" t="s">
        <v>44</v>
      </c>
      <c r="G16" t="s">
        <v>48</v>
      </c>
      <c r="H16" t="s">
        <v>44</v>
      </c>
      <c r="I16" t="s">
        <v>44</v>
      </c>
    </row>
    <row r="17" spans="1:9" hidden="1" x14ac:dyDescent="0.25">
      <c r="A17" t="s">
        <v>75</v>
      </c>
      <c r="B17" t="s">
        <v>46</v>
      </c>
      <c r="C17" t="s">
        <v>44</v>
      </c>
      <c r="D17" t="s">
        <v>190</v>
      </c>
      <c r="E17" t="s">
        <v>44</v>
      </c>
      <c r="F17" t="s">
        <v>44</v>
      </c>
      <c r="G17" t="s">
        <v>44</v>
      </c>
      <c r="H17" t="s">
        <v>44</v>
      </c>
      <c r="I17" t="s">
        <v>191</v>
      </c>
    </row>
    <row r="18" spans="1:9" x14ac:dyDescent="0.25">
      <c r="A18" t="s">
        <v>78</v>
      </c>
      <c r="B18" t="s">
        <v>26</v>
      </c>
      <c r="C18" t="s">
        <v>45</v>
      </c>
      <c r="D18" t="s">
        <v>47</v>
      </c>
      <c r="E18" t="s">
        <v>50</v>
      </c>
      <c r="F18" t="s">
        <v>44</v>
      </c>
      <c r="G18" t="s">
        <v>44</v>
      </c>
      <c r="H18" t="s">
        <v>44</v>
      </c>
      <c r="I18" t="s">
        <v>44</v>
      </c>
    </row>
    <row r="19" spans="1:9" hidden="1" x14ac:dyDescent="0.25">
      <c r="A19" t="s">
        <v>78</v>
      </c>
      <c r="B19" t="s">
        <v>28</v>
      </c>
      <c r="C19" t="s">
        <v>45</v>
      </c>
      <c r="D19" t="s">
        <v>47</v>
      </c>
      <c r="E19" t="s">
        <v>50</v>
      </c>
      <c r="F19" t="s">
        <v>44</v>
      </c>
      <c r="G19" t="s">
        <v>44</v>
      </c>
      <c r="H19" t="s">
        <v>44</v>
      </c>
      <c r="I19" t="s">
        <v>44</v>
      </c>
    </row>
    <row r="20" spans="1:9" hidden="1" x14ac:dyDescent="0.25">
      <c r="A20" t="s">
        <v>78</v>
      </c>
      <c r="B20" t="s">
        <v>46</v>
      </c>
      <c r="C20" t="s">
        <v>45</v>
      </c>
      <c r="D20" t="s">
        <v>47</v>
      </c>
      <c r="E20" t="s">
        <v>50</v>
      </c>
      <c r="F20" t="s">
        <v>44</v>
      </c>
      <c r="G20" t="s">
        <v>44</v>
      </c>
      <c r="H20" t="s">
        <v>44</v>
      </c>
      <c r="I20" t="s">
        <v>44</v>
      </c>
    </row>
    <row r="21" spans="1:9" x14ac:dyDescent="0.25">
      <c r="A21" t="s">
        <v>95</v>
      </c>
      <c r="B21" t="s">
        <v>26</v>
      </c>
      <c r="C21" t="s">
        <v>44</v>
      </c>
      <c r="D21" t="s">
        <v>27</v>
      </c>
      <c r="E21" t="s">
        <v>48</v>
      </c>
      <c r="F21" t="s">
        <v>44</v>
      </c>
      <c r="G21" t="s">
        <v>48</v>
      </c>
      <c r="H21" t="s">
        <v>44</v>
      </c>
      <c r="I21" t="s">
        <v>44</v>
      </c>
    </row>
    <row r="22" spans="1:9" hidden="1" x14ac:dyDescent="0.25">
      <c r="A22" t="s">
        <v>95</v>
      </c>
      <c r="B22" t="s">
        <v>28</v>
      </c>
      <c r="C22" t="s">
        <v>44</v>
      </c>
      <c r="D22" t="s">
        <v>27</v>
      </c>
      <c r="E22" t="s">
        <v>48</v>
      </c>
      <c r="F22" t="s">
        <v>44</v>
      </c>
      <c r="G22" t="s">
        <v>48</v>
      </c>
      <c r="H22" t="s">
        <v>44</v>
      </c>
      <c r="I22" t="s">
        <v>44</v>
      </c>
    </row>
    <row r="23" spans="1:9" hidden="1" x14ac:dyDescent="0.25">
      <c r="A23" t="s">
        <v>95</v>
      </c>
      <c r="B23" t="s">
        <v>46</v>
      </c>
      <c r="C23" t="s">
        <v>44</v>
      </c>
      <c r="D23" t="s">
        <v>192</v>
      </c>
      <c r="E23" t="s">
        <v>45</v>
      </c>
      <c r="F23" t="s">
        <v>44</v>
      </c>
      <c r="G23" t="s">
        <v>45</v>
      </c>
      <c r="H23" t="s">
        <v>68</v>
      </c>
      <c r="I23" t="s">
        <v>44</v>
      </c>
    </row>
    <row r="24" spans="1:9" x14ac:dyDescent="0.25">
      <c r="A24" t="s">
        <v>90</v>
      </c>
      <c r="B24" t="s">
        <v>26</v>
      </c>
      <c r="C24" t="s">
        <v>44</v>
      </c>
      <c r="D24" t="s">
        <v>193</v>
      </c>
      <c r="E24" t="s">
        <v>103</v>
      </c>
      <c r="F24" t="s">
        <v>44</v>
      </c>
      <c r="G24" t="s">
        <v>103</v>
      </c>
      <c r="H24" t="s">
        <v>108</v>
      </c>
      <c r="I24" t="s">
        <v>44</v>
      </c>
    </row>
    <row r="25" spans="1:9" hidden="1" x14ac:dyDescent="0.25">
      <c r="A25" t="s">
        <v>90</v>
      </c>
      <c r="B25" t="s">
        <v>28</v>
      </c>
      <c r="C25" t="s">
        <v>44</v>
      </c>
      <c r="D25" t="s">
        <v>193</v>
      </c>
      <c r="E25" t="s">
        <v>69</v>
      </c>
      <c r="F25" t="s">
        <v>44</v>
      </c>
      <c r="G25" t="s">
        <v>69</v>
      </c>
      <c r="H25" t="s">
        <v>44</v>
      </c>
      <c r="I25" t="s">
        <v>98</v>
      </c>
    </row>
    <row r="26" spans="1:9" hidden="1" x14ac:dyDescent="0.25">
      <c r="A26" t="s">
        <v>90</v>
      </c>
      <c r="B26" t="s">
        <v>46</v>
      </c>
      <c r="C26" t="s">
        <v>44</v>
      </c>
      <c r="D26" t="s">
        <v>194</v>
      </c>
      <c r="E26" t="s">
        <v>45</v>
      </c>
      <c r="F26" t="s">
        <v>44</v>
      </c>
      <c r="G26" t="s">
        <v>45</v>
      </c>
      <c r="H26" t="s">
        <v>96</v>
      </c>
      <c r="I26" t="s">
        <v>44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3"/>
  <sheetViews>
    <sheetView workbookViewId="0">
      <selection activeCell="H3" sqref="H3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t="s">
        <v>36</v>
      </c>
      <c r="B2" t="s">
        <v>25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</row>
    <row r="3" spans="1:9" x14ac:dyDescent="0.25">
      <c r="A3" t="s">
        <v>51</v>
      </c>
      <c r="B3" t="s">
        <v>79</v>
      </c>
      <c r="C3" t="s">
        <v>49</v>
      </c>
      <c r="D3" t="s">
        <v>97</v>
      </c>
      <c r="E3" t="s">
        <v>44</v>
      </c>
      <c r="F3" t="s">
        <v>44</v>
      </c>
      <c r="G3" t="s">
        <v>49</v>
      </c>
      <c r="H3" t="s">
        <v>102</v>
      </c>
      <c r="I3" t="s">
        <v>44</v>
      </c>
    </row>
    <row r="4" spans="1:9" x14ac:dyDescent="0.25">
      <c r="A4" t="s">
        <v>51</v>
      </c>
      <c r="B4" t="s">
        <v>81</v>
      </c>
      <c r="C4" t="s">
        <v>49</v>
      </c>
      <c r="D4" t="s">
        <v>97</v>
      </c>
      <c r="E4" t="s">
        <v>44</v>
      </c>
      <c r="F4" t="s">
        <v>44</v>
      </c>
      <c r="G4" t="s">
        <v>49</v>
      </c>
      <c r="H4" t="s">
        <v>102</v>
      </c>
      <c r="I4" t="s">
        <v>44</v>
      </c>
    </row>
    <row r="5" spans="1:9" x14ac:dyDescent="0.25">
      <c r="A5" t="s">
        <v>51</v>
      </c>
      <c r="B5" t="s">
        <v>83</v>
      </c>
      <c r="C5" t="s">
        <v>49</v>
      </c>
      <c r="D5" t="s">
        <v>97</v>
      </c>
      <c r="E5" t="s">
        <v>44</v>
      </c>
      <c r="F5" t="s">
        <v>44</v>
      </c>
      <c r="G5" t="s">
        <v>49</v>
      </c>
      <c r="H5" t="s">
        <v>102</v>
      </c>
      <c r="I5" t="s">
        <v>44</v>
      </c>
    </row>
    <row r="6" spans="1:9" x14ac:dyDescent="0.25">
      <c r="A6" t="s">
        <v>84</v>
      </c>
      <c r="B6" t="s">
        <v>79</v>
      </c>
      <c r="C6" t="s">
        <v>91</v>
      </c>
      <c r="D6" t="s">
        <v>97</v>
      </c>
      <c r="E6" t="s">
        <v>50</v>
      </c>
      <c r="F6" t="s">
        <v>44</v>
      </c>
      <c r="G6" t="s">
        <v>49</v>
      </c>
      <c r="H6" t="s">
        <v>102</v>
      </c>
      <c r="I6" t="s">
        <v>44</v>
      </c>
    </row>
    <row r="7" spans="1:9" x14ac:dyDescent="0.25">
      <c r="A7" t="s">
        <v>84</v>
      </c>
      <c r="B7" t="s">
        <v>81</v>
      </c>
      <c r="C7" t="s">
        <v>91</v>
      </c>
      <c r="D7" t="s">
        <v>97</v>
      </c>
      <c r="E7" t="s">
        <v>50</v>
      </c>
      <c r="F7" t="s">
        <v>44</v>
      </c>
      <c r="G7" t="s">
        <v>49</v>
      </c>
      <c r="H7" t="s">
        <v>102</v>
      </c>
      <c r="I7" t="s">
        <v>44</v>
      </c>
    </row>
    <row r="8" spans="1:9" x14ac:dyDescent="0.25">
      <c r="A8" t="s">
        <v>84</v>
      </c>
      <c r="B8" t="s">
        <v>83</v>
      </c>
      <c r="C8" t="s">
        <v>49</v>
      </c>
      <c r="D8" t="s">
        <v>97</v>
      </c>
      <c r="E8" t="s">
        <v>50</v>
      </c>
      <c r="F8" t="s">
        <v>44</v>
      </c>
      <c r="G8" t="s">
        <v>48</v>
      </c>
      <c r="H8" t="s">
        <v>99</v>
      </c>
      <c r="I8" t="s">
        <v>44</v>
      </c>
    </row>
    <row r="9" spans="1:9" x14ac:dyDescent="0.25">
      <c r="A9" t="s">
        <v>80</v>
      </c>
      <c r="B9" t="s">
        <v>79</v>
      </c>
      <c r="C9" t="s">
        <v>49</v>
      </c>
      <c r="D9" t="s">
        <v>97</v>
      </c>
      <c r="E9" t="s">
        <v>50</v>
      </c>
      <c r="F9" t="s">
        <v>44</v>
      </c>
      <c r="G9" t="s">
        <v>48</v>
      </c>
      <c r="H9" t="s">
        <v>99</v>
      </c>
      <c r="I9" t="s">
        <v>44</v>
      </c>
    </row>
    <row r="10" spans="1:9" x14ac:dyDescent="0.25">
      <c r="A10" t="s">
        <v>80</v>
      </c>
      <c r="B10" t="s">
        <v>81</v>
      </c>
      <c r="C10" t="s">
        <v>69</v>
      </c>
      <c r="D10" t="s">
        <v>97</v>
      </c>
      <c r="E10" t="s">
        <v>50</v>
      </c>
      <c r="F10" t="s">
        <v>44</v>
      </c>
      <c r="G10" t="s">
        <v>91</v>
      </c>
      <c r="H10" t="s">
        <v>100</v>
      </c>
      <c r="I10" t="s">
        <v>44</v>
      </c>
    </row>
    <row r="11" spans="1:9" x14ac:dyDescent="0.25">
      <c r="A11" t="s">
        <v>80</v>
      </c>
      <c r="B11" t="s">
        <v>83</v>
      </c>
      <c r="C11" t="s">
        <v>49</v>
      </c>
      <c r="D11" t="s">
        <v>97</v>
      </c>
      <c r="E11" t="s">
        <v>50</v>
      </c>
      <c r="F11" t="s">
        <v>44</v>
      </c>
      <c r="G11" t="s">
        <v>48</v>
      </c>
      <c r="H11" t="s">
        <v>99</v>
      </c>
      <c r="I11" t="s">
        <v>44</v>
      </c>
    </row>
    <row r="12" spans="1:9" x14ac:dyDescent="0.25">
      <c r="A12" t="s">
        <v>82</v>
      </c>
      <c r="B12" t="s">
        <v>79</v>
      </c>
      <c r="C12" t="s">
        <v>48</v>
      </c>
      <c r="D12" t="s">
        <v>97</v>
      </c>
      <c r="E12" t="s">
        <v>50</v>
      </c>
      <c r="F12" t="s">
        <v>44</v>
      </c>
      <c r="G12" t="s">
        <v>45</v>
      </c>
      <c r="H12" t="s">
        <v>98</v>
      </c>
      <c r="I12" t="s">
        <v>44</v>
      </c>
    </row>
    <row r="13" spans="1:9" x14ac:dyDescent="0.25">
      <c r="A13" t="s">
        <v>82</v>
      </c>
      <c r="B13" t="s">
        <v>81</v>
      </c>
      <c r="C13" t="s">
        <v>103</v>
      </c>
      <c r="D13" t="s">
        <v>97</v>
      </c>
      <c r="E13" t="s">
        <v>50</v>
      </c>
      <c r="F13" t="s">
        <v>44</v>
      </c>
      <c r="G13" t="s">
        <v>69</v>
      </c>
      <c r="H13" t="s">
        <v>101</v>
      </c>
      <c r="I13" t="s">
        <v>44</v>
      </c>
    </row>
    <row r="14" spans="1:9" x14ac:dyDescent="0.25">
      <c r="A14" t="s">
        <v>82</v>
      </c>
      <c r="B14" t="s">
        <v>83</v>
      </c>
      <c r="C14" t="s">
        <v>91</v>
      </c>
      <c r="D14" t="s">
        <v>97</v>
      </c>
      <c r="E14" t="s">
        <v>50</v>
      </c>
      <c r="F14" t="s">
        <v>44</v>
      </c>
      <c r="G14" t="s">
        <v>49</v>
      </c>
      <c r="H14" t="s">
        <v>102</v>
      </c>
      <c r="I14" t="s">
        <v>44</v>
      </c>
    </row>
    <row r="15" spans="1:9" x14ac:dyDescent="0.25">
      <c r="A15" t="s">
        <v>104</v>
      </c>
      <c r="B15" t="s">
        <v>79</v>
      </c>
      <c r="C15" t="s">
        <v>44</v>
      </c>
      <c r="D15" t="s">
        <v>97</v>
      </c>
      <c r="E15" t="s">
        <v>45</v>
      </c>
      <c r="F15" t="s">
        <v>44</v>
      </c>
      <c r="G15" t="s">
        <v>45</v>
      </c>
      <c r="H15" t="s">
        <v>98</v>
      </c>
      <c r="I15" t="s">
        <v>44</v>
      </c>
    </row>
    <row r="16" spans="1:9" x14ac:dyDescent="0.25">
      <c r="A16" t="s">
        <v>104</v>
      </c>
      <c r="B16" t="s">
        <v>81</v>
      </c>
      <c r="C16" t="s">
        <v>44</v>
      </c>
      <c r="D16" t="s">
        <v>97</v>
      </c>
      <c r="E16" t="s">
        <v>45</v>
      </c>
      <c r="F16" t="s">
        <v>44</v>
      </c>
      <c r="G16" t="s">
        <v>45</v>
      </c>
      <c r="H16" t="s">
        <v>98</v>
      </c>
      <c r="I16" t="s">
        <v>44</v>
      </c>
    </row>
    <row r="17" spans="1:9" x14ac:dyDescent="0.25">
      <c r="A17" t="s">
        <v>104</v>
      </c>
      <c r="B17" t="s">
        <v>83</v>
      </c>
      <c r="C17" t="s">
        <v>44</v>
      </c>
      <c r="D17" t="s">
        <v>97</v>
      </c>
      <c r="E17" t="s">
        <v>45</v>
      </c>
      <c r="F17" t="s">
        <v>44</v>
      </c>
      <c r="G17" t="s">
        <v>45</v>
      </c>
      <c r="H17" t="s">
        <v>98</v>
      </c>
      <c r="I17" t="s">
        <v>44</v>
      </c>
    </row>
    <row r="18" spans="1:9" x14ac:dyDescent="0.25">
      <c r="A18" t="s">
        <v>105</v>
      </c>
      <c r="B18" t="s">
        <v>79</v>
      </c>
      <c r="C18" t="s">
        <v>44</v>
      </c>
      <c r="D18" t="s">
        <v>97</v>
      </c>
      <c r="E18" t="s">
        <v>45</v>
      </c>
      <c r="F18" t="s">
        <v>44</v>
      </c>
      <c r="G18" t="s">
        <v>45</v>
      </c>
      <c r="H18" t="s">
        <v>98</v>
      </c>
      <c r="I18" t="s">
        <v>44</v>
      </c>
    </row>
    <row r="19" spans="1:9" x14ac:dyDescent="0.25">
      <c r="A19" t="s">
        <v>105</v>
      </c>
      <c r="B19" t="s">
        <v>81</v>
      </c>
      <c r="C19" t="s">
        <v>44</v>
      </c>
      <c r="D19" t="s">
        <v>97</v>
      </c>
      <c r="E19" t="s">
        <v>45</v>
      </c>
      <c r="F19" t="s">
        <v>44</v>
      </c>
      <c r="G19" t="s">
        <v>45</v>
      </c>
      <c r="H19" t="s">
        <v>98</v>
      </c>
      <c r="I19" t="s">
        <v>44</v>
      </c>
    </row>
    <row r="20" spans="1:9" x14ac:dyDescent="0.25">
      <c r="A20" t="s">
        <v>105</v>
      </c>
      <c r="B20" t="s">
        <v>83</v>
      </c>
      <c r="C20" t="s">
        <v>44</v>
      </c>
      <c r="D20" t="s">
        <v>97</v>
      </c>
      <c r="E20" t="s">
        <v>45</v>
      </c>
      <c r="F20" t="s">
        <v>44</v>
      </c>
      <c r="G20" t="s">
        <v>45</v>
      </c>
      <c r="H20" t="s">
        <v>98</v>
      </c>
      <c r="I20" t="s">
        <v>44</v>
      </c>
    </row>
    <row r="21" spans="1:9" x14ac:dyDescent="0.25">
      <c r="A21" t="s">
        <v>165</v>
      </c>
      <c r="B21" t="s">
        <v>79</v>
      </c>
      <c r="C21" t="s">
        <v>44</v>
      </c>
      <c r="D21" t="s">
        <v>97</v>
      </c>
      <c r="E21" t="s">
        <v>45</v>
      </c>
      <c r="F21" t="s">
        <v>44</v>
      </c>
      <c r="G21" t="s">
        <v>45</v>
      </c>
      <c r="H21" t="s">
        <v>98</v>
      </c>
      <c r="I21" t="s">
        <v>44</v>
      </c>
    </row>
    <row r="22" spans="1:9" x14ac:dyDescent="0.25">
      <c r="A22" t="s">
        <v>165</v>
      </c>
      <c r="B22" t="s">
        <v>81</v>
      </c>
      <c r="C22" t="s">
        <v>44</v>
      </c>
      <c r="D22" t="s">
        <v>97</v>
      </c>
      <c r="E22" t="s">
        <v>45</v>
      </c>
      <c r="F22" t="s">
        <v>44</v>
      </c>
      <c r="G22" t="s">
        <v>45</v>
      </c>
      <c r="H22" t="s">
        <v>98</v>
      </c>
      <c r="I22" t="s">
        <v>44</v>
      </c>
    </row>
    <row r="23" spans="1:9" x14ac:dyDescent="0.25">
      <c r="A23" t="s">
        <v>165</v>
      </c>
      <c r="B23" t="s">
        <v>83</v>
      </c>
      <c r="C23" t="s">
        <v>44</v>
      </c>
      <c r="D23" t="s">
        <v>97</v>
      </c>
      <c r="E23" t="s">
        <v>45</v>
      </c>
      <c r="F23" t="s">
        <v>44</v>
      </c>
      <c r="G23" t="s">
        <v>45</v>
      </c>
      <c r="H23" t="s">
        <v>98</v>
      </c>
      <c r="I23" t="s">
        <v>44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17"/>
  <sheetViews>
    <sheetView tabSelected="1" workbookViewId="0">
      <selection activeCell="I3" sqref="I3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t="s">
        <v>36</v>
      </c>
      <c r="B2" t="s">
        <v>25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</row>
    <row r="3" spans="1:9" x14ac:dyDescent="0.25">
      <c r="A3" t="s">
        <v>52</v>
      </c>
      <c r="B3" t="s">
        <v>85</v>
      </c>
      <c r="C3" t="s">
        <v>48</v>
      </c>
      <c r="D3" t="s">
        <v>109</v>
      </c>
      <c r="E3" t="s">
        <v>50</v>
      </c>
      <c r="F3" t="s">
        <v>44</v>
      </c>
      <c r="G3" t="s">
        <v>45</v>
      </c>
      <c r="H3" t="s">
        <v>108</v>
      </c>
      <c r="I3" t="s">
        <v>44</v>
      </c>
    </row>
    <row r="4" spans="1:9" x14ac:dyDescent="0.25">
      <c r="A4" t="s">
        <v>52</v>
      </c>
      <c r="B4" t="s">
        <v>88</v>
      </c>
      <c r="C4" t="s">
        <v>48</v>
      </c>
      <c r="D4" t="s">
        <v>109</v>
      </c>
      <c r="E4" t="s">
        <v>50</v>
      </c>
      <c r="F4" t="s">
        <v>44</v>
      </c>
      <c r="G4" t="s">
        <v>45</v>
      </c>
      <c r="H4" t="s">
        <v>108</v>
      </c>
      <c r="I4" t="s">
        <v>44</v>
      </c>
    </row>
    <row r="5" spans="1:9" x14ac:dyDescent="0.25">
      <c r="A5" t="s">
        <v>52</v>
      </c>
      <c r="B5" t="s">
        <v>89</v>
      </c>
      <c r="C5" t="s">
        <v>48</v>
      </c>
      <c r="D5" t="s">
        <v>109</v>
      </c>
      <c r="E5" t="s">
        <v>50</v>
      </c>
      <c r="F5" t="s">
        <v>44</v>
      </c>
      <c r="G5" t="s">
        <v>45</v>
      </c>
      <c r="H5" t="s">
        <v>108</v>
      </c>
      <c r="I5" t="s">
        <v>44</v>
      </c>
    </row>
    <row r="6" spans="1:9" x14ac:dyDescent="0.25">
      <c r="A6" t="s">
        <v>110</v>
      </c>
      <c r="B6" t="s">
        <v>85</v>
      </c>
      <c r="C6" t="s">
        <v>48</v>
      </c>
      <c r="D6" t="s">
        <v>19</v>
      </c>
      <c r="E6" t="s">
        <v>50</v>
      </c>
      <c r="F6" t="s">
        <v>44</v>
      </c>
      <c r="G6" t="s">
        <v>45</v>
      </c>
      <c r="H6" t="s">
        <v>106</v>
      </c>
      <c r="I6" t="s">
        <v>44</v>
      </c>
    </row>
    <row r="7" spans="1:9" x14ac:dyDescent="0.25">
      <c r="A7" t="s">
        <v>110</v>
      </c>
      <c r="B7" t="s">
        <v>88</v>
      </c>
      <c r="C7" t="s">
        <v>69</v>
      </c>
      <c r="D7" t="s">
        <v>19</v>
      </c>
      <c r="E7" t="s">
        <v>44</v>
      </c>
      <c r="F7" t="s">
        <v>44</v>
      </c>
      <c r="G7" t="s">
        <v>69</v>
      </c>
      <c r="H7" t="s">
        <v>195</v>
      </c>
      <c r="I7" t="s">
        <v>44</v>
      </c>
    </row>
    <row r="8" spans="1:9" x14ac:dyDescent="0.25">
      <c r="A8" t="s">
        <v>110</v>
      </c>
      <c r="B8" t="s">
        <v>89</v>
      </c>
      <c r="C8" t="s">
        <v>48</v>
      </c>
      <c r="D8" t="s">
        <v>19</v>
      </c>
      <c r="E8" t="s">
        <v>44</v>
      </c>
      <c r="F8" t="s">
        <v>44</v>
      </c>
      <c r="G8" t="s">
        <v>48</v>
      </c>
      <c r="H8" t="s">
        <v>196</v>
      </c>
      <c r="I8" t="s">
        <v>44</v>
      </c>
    </row>
    <row r="9" spans="1:9" x14ac:dyDescent="0.25">
      <c r="A9" t="s">
        <v>111</v>
      </c>
      <c r="B9" t="s">
        <v>85</v>
      </c>
      <c r="C9" t="s">
        <v>45</v>
      </c>
      <c r="D9" t="s">
        <v>197</v>
      </c>
      <c r="E9" t="s">
        <v>44</v>
      </c>
      <c r="F9" t="s">
        <v>44</v>
      </c>
      <c r="G9" t="s">
        <v>45</v>
      </c>
      <c r="H9" t="s">
        <v>106</v>
      </c>
      <c r="I9" t="s">
        <v>44</v>
      </c>
    </row>
    <row r="10" spans="1:9" x14ac:dyDescent="0.25">
      <c r="A10" t="s">
        <v>111</v>
      </c>
      <c r="B10" t="s">
        <v>88</v>
      </c>
      <c r="C10" t="s">
        <v>49</v>
      </c>
      <c r="D10" t="s">
        <v>197</v>
      </c>
      <c r="E10" t="s">
        <v>50</v>
      </c>
      <c r="F10" t="s">
        <v>44</v>
      </c>
      <c r="G10" t="s">
        <v>48</v>
      </c>
      <c r="H10" t="s">
        <v>196</v>
      </c>
      <c r="I10" t="s">
        <v>44</v>
      </c>
    </row>
    <row r="11" spans="1:9" x14ac:dyDescent="0.25">
      <c r="A11" t="s">
        <v>111</v>
      </c>
      <c r="B11" t="s">
        <v>89</v>
      </c>
      <c r="C11" t="s">
        <v>48</v>
      </c>
      <c r="D11" t="s">
        <v>197</v>
      </c>
      <c r="E11" t="s">
        <v>50</v>
      </c>
      <c r="F11" t="s">
        <v>44</v>
      </c>
      <c r="G11" t="s">
        <v>45</v>
      </c>
      <c r="H11" t="s">
        <v>106</v>
      </c>
      <c r="I11" t="s">
        <v>44</v>
      </c>
    </row>
    <row r="12" spans="1:9" x14ac:dyDescent="0.25">
      <c r="A12" t="s">
        <v>182</v>
      </c>
      <c r="B12" t="s">
        <v>85</v>
      </c>
      <c r="C12" t="s">
        <v>44</v>
      </c>
      <c r="D12" t="s">
        <v>107</v>
      </c>
      <c r="E12" t="s">
        <v>45</v>
      </c>
      <c r="F12" t="s">
        <v>44</v>
      </c>
      <c r="G12" t="s">
        <v>45</v>
      </c>
      <c r="H12" t="s">
        <v>108</v>
      </c>
      <c r="I12" t="s">
        <v>44</v>
      </c>
    </row>
    <row r="13" spans="1:9" x14ac:dyDescent="0.25">
      <c r="A13" t="s">
        <v>182</v>
      </c>
      <c r="B13" t="s">
        <v>88</v>
      </c>
      <c r="C13" t="s">
        <v>44</v>
      </c>
      <c r="D13" t="s">
        <v>107</v>
      </c>
      <c r="E13" t="s">
        <v>45</v>
      </c>
      <c r="F13" t="s">
        <v>44</v>
      </c>
      <c r="G13" t="s">
        <v>45</v>
      </c>
      <c r="H13" t="s">
        <v>108</v>
      </c>
      <c r="I13" t="s">
        <v>44</v>
      </c>
    </row>
    <row r="14" spans="1:9" x14ac:dyDescent="0.25">
      <c r="A14" t="s">
        <v>182</v>
      </c>
      <c r="B14" t="s">
        <v>89</v>
      </c>
      <c r="C14" t="s">
        <v>44</v>
      </c>
      <c r="D14" t="s">
        <v>107</v>
      </c>
      <c r="E14" t="s">
        <v>45</v>
      </c>
      <c r="F14" t="s">
        <v>44</v>
      </c>
      <c r="G14" t="s">
        <v>45</v>
      </c>
      <c r="H14" t="s">
        <v>108</v>
      </c>
      <c r="I14" t="s">
        <v>44</v>
      </c>
    </row>
    <row r="15" spans="1:9" x14ac:dyDescent="0.25">
      <c r="A15" t="s">
        <v>112</v>
      </c>
      <c r="B15" t="s">
        <v>85</v>
      </c>
      <c r="C15" t="s">
        <v>44</v>
      </c>
      <c r="D15" t="s">
        <v>107</v>
      </c>
      <c r="E15" t="s">
        <v>45</v>
      </c>
      <c r="F15" t="s">
        <v>44</v>
      </c>
      <c r="G15" t="s">
        <v>45</v>
      </c>
      <c r="H15" t="s">
        <v>108</v>
      </c>
      <c r="I15" t="s">
        <v>44</v>
      </c>
    </row>
    <row r="16" spans="1:9" x14ac:dyDescent="0.25">
      <c r="A16" t="s">
        <v>112</v>
      </c>
      <c r="B16" t="s">
        <v>88</v>
      </c>
      <c r="C16" t="s">
        <v>44</v>
      </c>
      <c r="D16" t="s">
        <v>107</v>
      </c>
      <c r="E16" t="s">
        <v>45</v>
      </c>
      <c r="F16" t="s">
        <v>44</v>
      </c>
      <c r="G16" t="s">
        <v>45</v>
      </c>
      <c r="H16" t="s">
        <v>108</v>
      </c>
      <c r="I16" t="s">
        <v>44</v>
      </c>
    </row>
    <row r="17" spans="1:9" x14ac:dyDescent="0.25">
      <c r="A17" t="s">
        <v>112</v>
      </c>
      <c r="B17" t="s">
        <v>89</v>
      </c>
      <c r="C17" t="s">
        <v>44</v>
      </c>
      <c r="D17" t="s">
        <v>107</v>
      </c>
      <c r="E17" t="s">
        <v>45</v>
      </c>
      <c r="F17" t="s">
        <v>44</v>
      </c>
      <c r="G17" t="s">
        <v>45</v>
      </c>
      <c r="H17" t="s">
        <v>108</v>
      </c>
      <c r="I17" t="s">
        <v>44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C124"/>
  <sheetViews>
    <sheetView workbookViewId="0">
      <selection activeCell="C3" sqref="C3:C4"/>
    </sheetView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5" t="s">
        <v>113</v>
      </c>
      <c r="B2" s="5" t="s">
        <v>53</v>
      </c>
      <c r="C2" s="5">
        <v>1000</v>
      </c>
    </row>
    <row r="3" spans="1:3" x14ac:dyDescent="0.25">
      <c r="A3" s="5" t="s">
        <v>54</v>
      </c>
      <c r="B3" s="5" t="s">
        <v>121</v>
      </c>
      <c r="C3" s="5">
        <v>952</v>
      </c>
    </row>
    <row r="4" spans="1:3" x14ac:dyDescent="0.25">
      <c r="A4" s="5" t="s">
        <v>54</v>
      </c>
      <c r="B4" s="5" t="s">
        <v>198</v>
      </c>
      <c r="C4" s="5">
        <v>48</v>
      </c>
    </row>
    <row r="5" spans="1:3" x14ac:dyDescent="0.25">
      <c r="A5" s="5" t="s">
        <v>114</v>
      </c>
      <c r="B5" s="5" t="s">
        <v>53</v>
      </c>
      <c r="C5" s="5">
        <v>3000</v>
      </c>
    </row>
    <row r="6" spans="1:3" x14ac:dyDescent="0.25">
      <c r="A6" s="5" t="s">
        <v>54</v>
      </c>
      <c r="B6" s="5" t="s">
        <v>123</v>
      </c>
      <c r="C6" s="5">
        <v>2721</v>
      </c>
    </row>
    <row r="7" spans="1:3" x14ac:dyDescent="0.25">
      <c r="A7" s="5" t="s">
        <v>54</v>
      </c>
      <c r="B7" s="5" t="s">
        <v>121</v>
      </c>
      <c r="C7" s="5">
        <v>136</v>
      </c>
    </row>
    <row r="8" spans="1:3" x14ac:dyDescent="0.25">
      <c r="A8" s="5" t="s">
        <v>54</v>
      </c>
      <c r="B8" s="5" t="s">
        <v>199</v>
      </c>
      <c r="C8" s="5">
        <v>136</v>
      </c>
    </row>
    <row r="9" spans="1:3" x14ac:dyDescent="0.25">
      <c r="A9" s="5" t="s">
        <v>54</v>
      </c>
      <c r="B9" s="5" t="s">
        <v>198</v>
      </c>
      <c r="C9" s="5">
        <v>7</v>
      </c>
    </row>
    <row r="10" spans="1:3" x14ac:dyDescent="0.25">
      <c r="A10" s="5" t="s">
        <v>116</v>
      </c>
      <c r="B10" s="5" t="s">
        <v>53</v>
      </c>
      <c r="C10" s="5">
        <v>2000</v>
      </c>
    </row>
    <row r="11" spans="1:3" x14ac:dyDescent="0.25">
      <c r="A11" s="5" t="s">
        <v>54</v>
      </c>
      <c r="B11" s="5" t="s">
        <v>200</v>
      </c>
      <c r="C11" s="5">
        <v>505</v>
      </c>
    </row>
    <row r="12" spans="1:3" x14ac:dyDescent="0.25">
      <c r="A12" s="5" t="s">
        <v>54</v>
      </c>
      <c r="B12" s="5" t="s">
        <v>201</v>
      </c>
      <c r="C12" s="5">
        <v>25</v>
      </c>
    </row>
    <row r="13" spans="1:3" x14ac:dyDescent="0.25">
      <c r="A13" s="5" t="s">
        <v>54</v>
      </c>
      <c r="B13" s="5" t="s">
        <v>63</v>
      </c>
      <c r="C13" s="5">
        <v>300</v>
      </c>
    </row>
    <row r="14" spans="1:3" x14ac:dyDescent="0.25">
      <c r="A14" s="5" t="s">
        <v>54</v>
      </c>
      <c r="B14" s="5" t="s">
        <v>117</v>
      </c>
      <c r="C14" s="5">
        <v>300</v>
      </c>
    </row>
    <row r="15" spans="1:3" x14ac:dyDescent="0.25">
      <c r="A15" s="5" t="s">
        <v>54</v>
      </c>
      <c r="B15" s="5" t="s">
        <v>118</v>
      </c>
      <c r="C15" s="5">
        <v>300</v>
      </c>
    </row>
    <row r="16" spans="1:3" x14ac:dyDescent="0.25">
      <c r="A16" s="5" t="s">
        <v>54</v>
      </c>
      <c r="B16" s="5" t="s">
        <v>119</v>
      </c>
      <c r="C16" s="5">
        <v>300</v>
      </c>
    </row>
    <row r="17" spans="1:3" x14ac:dyDescent="0.25">
      <c r="A17" s="5" t="s">
        <v>54</v>
      </c>
      <c r="B17" s="5" t="s">
        <v>202</v>
      </c>
      <c r="C17" s="5">
        <v>15</v>
      </c>
    </row>
    <row r="18" spans="1:3" x14ac:dyDescent="0.25">
      <c r="A18" s="5" t="s">
        <v>54</v>
      </c>
      <c r="B18" s="5" t="s">
        <v>203</v>
      </c>
      <c r="C18" s="5">
        <v>15</v>
      </c>
    </row>
    <row r="19" spans="1:3" x14ac:dyDescent="0.25">
      <c r="A19" s="5" t="s">
        <v>54</v>
      </c>
      <c r="B19" s="5" t="s">
        <v>204</v>
      </c>
      <c r="C19" s="5">
        <v>15</v>
      </c>
    </row>
    <row r="20" spans="1:3" x14ac:dyDescent="0.25">
      <c r="A20" s="5" t="s">
        <v>54</v>
      </c>
      <c r="B20" s="5" t="s">
        <v>205</v>
      </c>
      <c r="C20" s="5">
        <v>15</v>
      </c>
    </row>
    <row r="21" spans="1:3" x14ac:dyDescent="0.25">
      <c r="A21" s="5" t="s">
        <v>54</v>
      </c>
      <c r="B21" s="5" t="s">
        <v>64</v>
      </c>
      <c r="C21" s="5">
        <v>100</v>
      </c>
    </row>
    <row r="22" spans="1:3" x14ac:dyDescent="0.25">
      <c r="A22" s="5" t="s">
        <v>54</v>
      </c>
      <c r="B22" s="5" t="s">
        <v>126</v>
      </c>
      <c r="C22" s="5">
        <v>100</v>
      </c>
    </row>
    <row r="23" spans="1:3" x14ac:dyDescent="0.25">
      <c r="A23" s="5" t="s">
        <v>54</v>
      </c>
      <c r="B23" s="5" t="s">
        <v>206</v>
      </c>
      <c r="C23" s="5">
        <v>5</v>
      </c>
    </row>
    <row r="24" spans="1:3" x14ac:dyDescent="0.25">
      <c r="A24" s="5" t="s">
        <v>54</v>
      </c>
      <c r="B24" s="5" t="s">
        <v>207</v>
      </c>
      <c r="C24" s="5">
        <v>5</v>
      </c>
    </row>
    <row r="25" spans="1:3" x14ac:dyDescent="0.25">
      <c r="A25" s="5" t="s">
        <v>120</v>
      </c>
      <c r="B25" s="5" t="s">
        <v>53</v>
      </c>
      <c r="C25" s="5">
        <v>4000</v>
      </c>
    </row>
    <row r="26" spans="1:3" x14ac:dyDescent="0.25">
      <c r="A26" s="5" t="s">
        <v>54</v>
      </c>
      <c r="B26" s="5" t="s">
        <v>121</v>
      </c>
      <c r="C26" s="5">
        <v>3810</v>
      </c>
    </row>
    <row r="27" spans="1:3" x14ac:dyDescent="0.25">
      <c r="A27" s="5" t="s">
        <v>54</v>
      </c>
      <c r="B27" s="5" t="s">
        <v>198</v>
      </c>
      <c r="C27" s="5">
        <v>190</v>
      </c>
    </row>
    <row r="28" spans="1:3" x14ac:dyDescent="0.25">
      <c r="A28" s="5" t="s">
        <v>122</v>
      </c>
      <c r="B28" s="5" t="s">
        <v>53</v>
      </c>
      <c r="C28" s="5">
        <v>1000</v>
      </c>
    </row>
    <row r="29" spans="1:3" x14ac:dyDescent="0.25">
      <c r="A29" s="5" t="s">
        <v>54</v>
      </c>
      <c r="B29" s="5" t="s">
        <v>200</v>
      </c>
      <c r="C29" s="5">
        <v>952</v>
      </c>
    </row>
    <row r="30" spans="1:3" x14ac:dyDescent="0.25">
      <c r="A30" s="5" t="s">
        <v>54</v>
      </c>
      <c r="B30" s="5" t="s">
        <v>201</v>
      </c>
      <c r="C30" s="5">
        <v>48</v>
      </c>
    </row>
    <row r="31" spans="1:3" x14ac:dyDescent="0.25">
      <c r="A31" s="5" t="s">
        <v>124</v>
      </c>
      <c r="B31" s="5" t="s">
        <v>53</v>
      </c>
      <c r="C31" s="5">
        <v>1000</v>
      </c>
    </row>
    <row r="32" spans="1:3" x14ac:dyDescent="0.25">
      <c r="A32" s="5" t="s">
        <v>54</v>
      </c>
      <c r="B32" s="5" t="s">
        <v>135</v>
      </c>
      <c r="C32" s="5">
        <v>152</v>
      </c>
    </row>
    <row r="33" spans="1:3" x14ac:dyDescent="0.25">
      <c r="A33" s="5" t="s">
        <v>54</v>
      </c>
      <c r="B33" s="5" t="s">
        <v>208</v>
      </c>
      <c r="C33" s="5">
        <v>8</v>
      </c>
    </row>
    <row r="34" spans="1:3" x14ac:dyDescent="0.25">
      <c r="A34" s="5" t="s">
        <v>54</v>
      </c>
      <c r="B34" s="5" t="s">
        <v>63</v>
      </c>
      <c r="C34" s="5">
        <v>150</v>
      </c>
    </row>
    <row r="35" spans="1:3" x14ac:dyDescent="0.25">
      <c r="A35" s="5" t="s">
        <v>54</v>
      </c>
      <c r="B35" s="5" t="s">
        <v>151</v>
      </c>
      <c r="C35" s="5">
        <v>150</v>
      </c>
    </row>
    <row r="36" spans="1:3" x14ac:dyDescent="0.25">
      <c r="A36" s="5" t="s">
        <v>54</v>
      </c>
      <c r="B36" s="5" t="s">
        <v>118</v>
      </c>
      <c r="C36" s="5">
        <v>150</v>
      </c>
    </row>
    <row r="37" spans="1:3" x14ac:dyDescent="0.25">
      <c r="A37" s="5" t="s">
        <v>54</v>
      </c>
      <c r="B37" s="5" t="s">
        <v>144</v>
      </c>
      <c r="C37" s="5">
        <v>150</v>
      </c>
    </row>
    <row r="38" spans="1:3" x14ac:dyDescent="0.25">
      <c r="A38" s="5" t="s">
        <v>54</v>
      </c>
      <c r="B38" s="5" t="s">
        <v>202</v>
      </c>
      <c r="C38" s="5">
        <v>8</v>
      </c>
    </row>
    <row r="39" spans="1:3" x14ac:dyDescent="0.25">
      <c r="A39" s="5" t="s">
        <v>54</v>
      </c>
      <c r="B39" s="5" t="s">
        <v>209</v>
      </c>
      <c r="C39" s="5">
        <v>8</v>
      </c>
    </row>
    <row r="40" spans="1:3" x14ac:dyDescent="0.25">
      <c r="A40" s="5" t="s">
        <v>54</v>
      </c>
      <c r="B40" s="5" t="s">
        <v>204</v>
      </c>
      <c r="C40" s="5">
        <v>8</v>
      </c>
    </row>
    <row r="41" spans="1:3" x14ac:dyDescent="0.25">
      <c r="A41" s="5" t="s">
        <v>54</v>
      </c>
      <c r="B41" s="5" t="s">
        <v>210</v>
      </c>
      <c r="C41" s="5">
        <v>8</v>
      </c>
    </row>
    <row r="42" spans="1:3" x14ac:dyDescent="0.25">
      <c r="A42" s="5" t="s">
        <v>54</v>
      </c>
      <c r="B42" s="5" t="s">
        <v>64</v>
      </c>
      <c r="C42" s="5">
        <v>50</v>
      </c>
    </row>
    <row r="43" spans="1:3" x14ac:dyDescent="0.25">
      <c r="A43" s="5" t="s">
        <v>54</v>
      </c>
      <c r="B43" s="5" t="s">
        <v>125</v>
      </c>
      <c r="C43" s="5">
        <v>50</v>
      </c>
    </row>
    <row r="44" spans="1:3" x14ac:dyDescent="0.25">
      <c r="A44" s="5" t="s">
        <v>54</v>
      </c>
      <c r="B44" s="5" t="s">
        <v>211</v>
      </c>
      <c r="C44" s="5">
        <v>50</v>
      </c>
    </row>
    <row r="45" spans="1:3" x14ac:dyDescent="0.25">
      <c r="A45" s="5" t="s">
        <v>54</v>
      </c>
      <c r="B45" s="5" t="s">
        <v>126</v>
      </c>
      <c r="C45" s="5">
        <v>50</v>
      </c>
    </row>
    <row r="46" spans="1:3" x14ac:dyDescent="0.25">
      <c r="A46" s="5" t="s">
        <v>54</v>
      </c>
      <c r="B46" s="5" t="s">
        <v>206</v>
      </c>
      <c r="C46" s="5">
        <v>3</v>
      </c>
    </row>
    <row r="47" spans="1:3" x14ac:dyDescent="0.25">
      <c r="A47" s="5" t="s">
        <v>54</v>
      </c>
      <c r="B47" s="5" t="s">
        <v>212</v>
      </c>
      <c r="C47" s="5">
        <v>3</v>
      </c>
    </row>
    <row r="48" spans="1:3" x14ac:dyDescent="0.25">
      <c r="A48" s="5" t="s">
        <v>54</v>
      </c>
      <c r="B48" s="5" t="s">
        <v>213</v>
      </c>
      <c r="C48" s="5">
        <v>3</v>
      </c>
    </row>
    <row r="49" spans="1:3" x14ac:dyDescent="0.25">
      <c r="A49" s="5" t="s">
        <v>54</v>
      </c>
      <c r="B49" s="5" t="s">
        <v>207</v>
      </c>
      <c r="C49" s="5">
        <v>3</v>
      </c>
    </row>
    <row r="50" spans="1:3" x14ac:dyDescent="0.25">
      <c r="A50" s="5" t="s">
        <v>127</v>
      </c>
      <c r="B50" s="5" t="s">
        <v>53</v>
      </c>
      <c r="C50" s="5">
        <v>2000</v>
      </c>
    </row>
    <row r="51" spans="1:3" x14ac:dyDescent="0.25">
      <c r="A51" s="5" t="s">
        <v>54</v>
      </c>
      <c r="B51" s="5" t="s">
        <v>63</v>
      </c>
      <c r="C51" s="5">
        <v>105</v>
      </c>
    </row>
    <row r="52" spans="1:3" x14ac:dyDescent="0.25">
      <c r="A52" s="5" t="s">
        <v>54</v>
      </c>
      <c r="B52" s="5" t="s">
        <v>117</v>
      </c>
      <c r="C52" s="5">
        <v>300</v>
      </c>
    </row>
    <row r="53" spans="1:3" x14ac:dyDescent="0.25">
      <c r="A53" s="5" t="s">
        <v>54</v>
      </c>
      <c r="B53" s="5" t="s">
        <v>151</v>
      </c>
      <c r="C53" s="5">
        <v>300</v>
      </c>
    </row>
    <row r="54" spans="1:3" x14ac:dyDescent="0.25">
      <c r="A54" s="5" t="s">
        <v>54</v>
      </c>
      <c r="B54" s="5" t="s">
        <v>118</v>
      </c>
      <c r="C54" s="5">
        <v>300</v>
      </c>
    </row>
    <row r="55" spans="1:3" x14ac:dyDescent="0.25">
      <c r="A55" s="5" t="s">
        <v>54</v>
      </c>
      <c r="B55" s="5" t="s">
        <v>144</v>
      </c>
      <c r="C55" s="5">
        <v>300</v>
      </c>
    </row>
    <row r="56" spans="1:3" x14ac:dyDescent="0.25">
      <c r="A56" s="5" t="s">
        <v>54</v>
      </c>
      <c r="B56" s="5" t="s">
        <v>166</v>
      </c>
      <c r="C56" s="5">
        <v>300</v>
      </c>
    </row>
    <row r="57" spans="1:3" x14ac:dyDescent="0.25">
      <c r="A57" s="5" t="s">
        <v>54</v>
      </c>
      <c r="B57" s="5" t="s">
        <v>202</v>
      </c>
      <c r="C57" s="5">
        <v>5</v>
      </c>
    </row>
    <row r="58" spans="1:3" x14ac:dyDescent="0.25">
      <c r="A58" s="5" t="s">
        <v>54</v>
      </c>
      <c r="B58" s="5" t="s">
        <v>203</v>
      </c>
      <c r="C58" s="5">
        <v>15</v>
      </c>
    </row>
    <row r="59" spans="1:3" x14ac:dyDescent="0.25">
      <c r="A59" s="5" t="s">
        <v>54</v>
      </c>
      <c r="B59" s="5" t="s">
        <v>209</v>
      </c>
      <c r="C59" s="5">
        <v>15</v>
      </c>
    </row>
    <row r="60" spans="1:3" x14ac:dyDescent="0.25">
      <c r="A60" s="5" t="s">
        <v>54</v>
      </c>
      <c r="B60" s="5" t="s">
        <v>204</v>
      </c>
      <c r="C60" s="5">
        <v>15</v>
      </c>
    </row>
    <row r="61" spans="1:3" x14ac:dyDescent="0.25">
      <c r="A61" s="5" t="s">
        <v>54</v>
      </c>
      <c r="B61" s="5" t="s">
        <v>210</v>
      </c>
      <c r="C61" s="5">
        <v>15</v>
      </c>
    </row>
    <row r="62" spans="1:3" x14ac:dyDescent="0.25">
      <c r="A62" s="5" t="s">
        <v>54</v>
      </c>
      <c r="B62" s="5" t="s">
        <v>214</v>
      </c>
      <c r="C62" s="5">
        <v>15</v>
      </c>
    </row>
    <row r="63" spans="1:3" x14ac:dyDescent="0.25">
      <c r="A63" s="5" t="s">
        <v>54</v>
      </c>
      <c r="B63" s="5" t="s">
        <v>64</v>
      </c>
      <c r="C63" s="5">
        <v>100</v>
      </c>
    </row>
    <row r="64" spans="1:3" x14ac:dyDescent="0.25">
      <c r="A64" s="5" t="s">
        <v>54</v>
      </c>
      <c r="B64" s="5" t="s">
        <v>142</v>
      </c>
      <c r="C64" s="5">
        <v>100</v>
      </c>
    </row>
    <row r="65" spans="1:3" x14ac:dyDescent="0.25">
      <c r="A65" s="5" t="s">
        <v>54</v>
      </c>
      <c r="B65" s="5" t="s">
        <v>211</v>
      </c>
      <c r="C65" s="5">
        <v>100</v>
      </c>
    </row>
    <row r="66" spans="1:3" x14ac:dyDescent="0.25">
      <c r="A66" s="5" t="s">
        <v>54</v>
      </c>
      <c r="B66" s="5" t="s">
        <v>206</v>
      </c>
      <c r="C66" s="5">
        <v>5</v>
      </c>
    </row>
    <row r="67" spans="1:3" x14ac:dyDescent="0.25">
      <c r="A67" s="5" t="s">
        <v>54</v>
      </c>
      <c r="B67" s="5" t="s">
        <v>215</v>
      </c>
      <c r="C67" s="5">
        <v>5</v>
      </c>
    </row>
    <row r="68" spans="1:3" x14ac:dyDescent="0.25">
      <c r="A68" s="5" t="s">
        <v>54</v>
      </c>
      <c r="B68" s="5" t="s">
        <v>213</v>
      </c>
      <c r="C68" s="5">
        <v>5</v>
      </c>
    </row>
    <row r="69" spans="1:3" x14ac:dyDescent="0.25">
      <c r="A69" s="5" t="s">
        <v>128</v>
      </c>
      <c r="B69" s="5" t="s">
        <v>53</v>
      </c>
      <c r="C69" s="5">
        <v>3000</v>
      </c>
    </row>
    <row r="70" spans="1:3" x14ac:dyDescent="0.25">
      <c r="A70" s="5" t="s">
        <v>54</v>
      </c>
      <c r="B70" s="5" t="s">
        <v>115</v>
      </c>
      <c r="C70" s="5">
        <v>2857</v>
      </c>
    </row>
    <row r="71" spans="1:3" x14ac:dyDescent="0.25">
      <c r="A71" s="5" t="s">
        <v>54</v>
      </c>
      <c r="B71" s="5" t="s">
        <v>216</v>
      </c>
      <c r="C71" s="5">
        <v>143</v>
      </c>
    </row>
    <row r="72" spans="1:3" x14ac:dyDescent="0.25">
      <c r="A72" s="5" t="s">
        <v>129</v>
      </c>
      <c r="B72" s="5" t="s">
        <v>53</v>
      </c>
      <c r="C72" s="5">
        <v>3000</v>
      </c>
    </row>
    <row r="73" spans="1:3" x14ac:dyDescent="0.25">
      <c r="A73" s="5" t="s">
        <v>54</v>
      </c>
      <c r="B73" s="5" t="s">
        <v>121</v>
      </c>
      <c r="C73" s="5">
        <v>2857</v>
      </c>
    </row>
    <row r="74" spans="1:3" x14ac:dyDescent="0.25">
      <c r="A74" s="5" t="s">
        <v>54</v>
      </c>
      <c r="B74" s="5" t="s">
        <v>198</v>
      </c>
      <c r="C74" s="5">
        <v>143</v>
      </c>
    </row>
    <row r="75" spans="1:3" x14ac:dyDescent="0.25">
      <c r="A75" s="5" t="s">
        <v>130</v>
      </c>
      <c r="B75" s="5" t="s">
        <v>53</v>
      </c>
      <c r="C75" s="5">
        <v>2000</v>
      </c>
    </row>
    <row r="76" spans="1:3" x14ac:dyDescent="0.25">
      <c r="A76" s="5" t="s">
        <v>54</v>
      </c>
      <c r="B76" s="5" t="s">
        <v>115</v>
      </c>
      <c r="C76" s="5">
        <v>272</v>
      </c>
    </row>
    <row r="77" spans="1:3" x14ac:dyDescent="0.25">
      <c r="A77" s="5" t="s">
        <v>54</v>
      </c>
      <c r="B77" s="5" t="s">
        <v>121</v>
      </c>
      <c r="C77" s="5">
        <v>1633</v>
      </c>
    </row>
    <row r="78" spans="1:3" x14ac:dyDescent="0.25">
      <c r="A78" s="5" t="s">
        <v>54</v>
      </c>
      <c r="B78" s="5" t="s">
        <v>216</v>
      </c>
      <c r="C78" s="5">
        <v>14</v>
      </c>
    </row>
    <row r="79" spans="1:3" x14ac:dyDescent="0.25">
      <c r="A79" s="5" t="s">
        <v>54</v>
      </c>
      <c r="B79" s="5" t="s">
        <v>198</v>
      </c>
      <c r="C79" s="5">
        <v>82</v>
      </c>
    </row>
    <row r="80" spans="1:3" x14ac:dyDescent="0.25">
      <c r="A80" s="5" t="s">
        <v>131</v>
      </c>
      <c r="B80" s="5" t="s">
        <v>53</v>
      </c>
      <c r="C80" s="5">
        <v>1000</v>
      </c>
    </row>
    <row r="81" spans="1:3" x14ac:dyDescent="0.25">
      <c r="A81" s="5" t="s">
        <v>54</v>
      </c>
      <c r="B81" s="5" t="s">
        <v>135</v>
      </c>
      <c r="C81" s="5">
        <v>102</v>
      </c>
    </row>
    <row r="82" spans="1:3" x14ac:dyDescent="0.25">
      <c r="A82" s="5" t="s">
        <v>54</v>
      </c>
      <c r="B82" s="5" t="s">
        <v>208</v>
      </c>
      <c r="C82" s="5">
        <v>5</v>
      </c>
    </row>
    <row r="83" spans="1:3" x14ac:dyDescent="0.25">
      <c r="A83" s="5" t="s">
        <v>54</v>
      </c>
      <c r="B83" s="5" t="s">
        <v>117</v>
      </c>
      <c r="C83" s="5">
        <v>150</v>
      </c>
    </row>
    <row r="84" spans="1:3" x14ac:dyDescent="0.25">
      <c r="A84" s="5" t="s">
        <v>54</v>
      </c>
      <c r="B84" s="5" t="s">
        <v>151</v>
      </c>
      <c r="C84" s="5">
        <v>150</v>
      </c>
    </row>
    <row r="85" spans="1:3" x14ac:dyDescent="0.25">
      <c r="A85" s="5" t="s">
        <v>54</v>
      </c>
      <c r="B85" s="5" t="s">
        <v>119</v>
      </c>
      <c r="C85" s="5">
        <v>150</v>
      </c>
    </row>
    <row r="86" spans="1:3" x14ac:dyDescent="0.25">
      <c r="A86" s="5" t="s">
        <v>54</v>
      </c>
      <c r="B86" s="5" t="s">
        <v>144</v>
      </c>
      <c r="C86" s="5">
        <v>150</v>
      </c>
    </row>
    <row r="87" spans="1:3" x14ac:dyDescent="0.25">
      <c r="A87" s="5" t="s">
        <v>54</v>
      </c>
      <c r="B87" s="5" t="s">
        <v>166</v>
      </c>
      <c r="C87" s="5">
        <v>150</v>
      </c>
    </row>
    <row r="88" spans="1:3" x14ac:dyDescent="0.25">
      <c r="A88" s="5" t="s">
        <v>54</v>
      </c>
      <c r="B88" s="5" t="s">
        <v>203</v>
      </c>
      <c r="C88" s="5">
        <v>8</v>
      </c>
    </row>
    <row r="89" spans="1:3" x14ac:dyDescent="0.25">
      <c r="A89" s="5" t="s">
        <v>54</v>
      </c>
      <c r="B89" s="5" t="s">
        <v>209</v>
      </c>
      <c r="C89" s="5">
        <v>8</v>
      </c>
    </row>
    <row r="90" spans="1:3" x14ac:dyDescent="0.25">
      <c r="A90" s="5" t="s">
        <v>54</v>
      </c>
      <c r="B90" s="5" t="s">
        <v>205</v>
      </c>
      <c r="C90" s="5">
        <v>7</v>
      </c>
    </row>
    <row r="91" spans="1:3" x14ac:dyDescent="0.25">
      <c r="A91" s="5" t="s">
        <v>54</v>
      </c>
      <c r="B91" s="5" t="s">
        <v>210</v>
      </c>
      <c r="C91" s="5">
        <v>8</v>
      </c>
    </row>
    <row r="92" spans="1:3" x14ac:dyDescent="0.25">
      <c r="A92" s="5" t="s">
        <v>54</v>
      </c>
      <c r="B92" s="5" t="s">
        <v>214</v>
      </c>
      <c r="C92" s="5">
        <v>8</v>
      </c>
    </row>
    <row r="93" spans="1:3" x14ac:dyDescent="0.25">
      <c r="A93" s="5" t="s">
        <v>54</v>
      </c>
      <c r="B93" s="5" t="s">
        <v>64</v>
      </c>
      <c r="C93" s="5">
        <v>50</v>
      </c>
    </row>
    <row r="94" spans="1:3" x14ac:dyDescent="0.25">
      <c r="A94" s="5" t="s">
        <v>54</v>
      </c>
      <c r="B94" s="5" t="s">
        <v>211</v>
      </c>
      <c r="C94" s="5">
        <v>50</v>
      </c>
    </row>
    <row r="95" spans="1:3" x14ac:dyDescent="0.25">
      <c r="A95" s="5" t="s">
        <v>54</v>
      </c>
      <c r="B95" s="5" t="s">
        <v>206</v>
      </c>
      <c r="C95" s="5">
        <v>3</v>
      </c>
    </row>
    <row r="96" spans="1:3" x14ac:dyDescent="0.25">
      <c r="A96" s="5" t="s">
        <v>54</v>
      </c>
      <c r="B96" s="5" t="s">
        <v>213</v>
      </c>
      <c r="C96" s="5">
        <v>3</v>
      </c>
    </row>
    <row r="97" spans="1:3" x14ac:dyDescent="0.25">
      <c r="A97" s="5" t="s">
        <v>132</v>
      </c>
      <c r="B97" s="5" t="s">
        <v>53</v>
      </c>
      <c r="C97" s="5">
        <v>2000</v>
      </c>
    </row>
    <row r="98" spans="1:3" x14ac:dyDescent="0.25">
      <c r="A98" s="5" t="s">
        <v>54</v>
      </c>
      <c r="B98" s="5" t="s">
        <v>115</v>
      </c>
      <c r="C98" s="5">
        <v>1905</v>
      </c>
    </row>
    <row r="99" spans="1:3" x14ac:dyDescent="0.25">
      <c r="A99" s="5" t="s">
        <v>54</v>
      </c>
      <c r="B99" s="5" t="s">
        <v>216</v>
      </c>
      <c r="C99" s="5">
        <v>95</v>
      </c>
    </row>
    <row r="100" spans="1:3" x14ac:dyDescent="0.25">
      <c r="A100" s="5" t="s">
        <v>133</v>
      </c>
      <c r="B100" s="5" t="s">
        <v>53</v>
      </c>
      <c r="C100" s="5">
        <v>3000</v>
      </c>
    </row>
    <row r="101" spans="1:3" x14ac:dyDescent="0.25">
      <c r="A101" s="5" t="s">
        <v>54</v>
      </c>
      <c r="B101" s="5" t="s">
        <v>200</v>
      </c>
      <c r="C101" s="5">
        <v>498</v>
      </c>
    </row>
    <row r="102" spans="1:3" x14ac:dyDescent="0.25">
      <c r="A102" s="5" t="s">
        <v>54</v>
      </c>
      <c r="B102" s="5" t="s">
        <v>121</v>
      </c>
      <c r="C102" s="5">
        <v>2359</v>
      </c>
    </row>
    <row r="103" spans="1:3" x14ac:dyDescent="0.25">
      <c r="A103" s="5" t="s">
        <v>54</v>
      </c>
      <c r="B103" s="5" t="s">
        <v>201</v>
      </c>
      <c r="C103" s="5">
        <v>25</v>
      </c>
    </row>
    <row r="104" spans="1:3" x14ac:dyDescent="0.25">
      <c r="A104" s="5" t="s">
        <v>54</v>
      </c>
      <c r="B104" s="5" t="s">
        <v>198</v>
      </c>
      <c r="C104" s="5">
        <v>118</v>
      </c>
    </row>
    <row r="105" spans="1:3" x14ac:dyDescent="0.25">
      <c r="A105" s="5" t="s">
        <v>134</v>
      </c>
      <c r="B105" s="5" t="s">
        <v>53</v>
      </c>
      <c r="C105" s="5">
        <v>4000</v>
      </c>
    </row>
    <row r="106" spans="1:3" x14ac:dyDescent="0.25">
      <c r="A106" s="5" t="s">
        <v>54</v>
      </c>
      <c r="B106" s="5" t="s">
        <v>123</v>
      </c>
      <c r="C106" s="5">
        <v>136</v>
      </c>
    </row>
    <row r="107" spans="1:3" x14ac:dyDescent="0.25">
      <c r="A107" s="5" t="s">
        <v>54</v>
      </c>
      <c r="B107" s="5" t="s">
        <v>135</v>
      </c>
      <c r="C107" s="5">
        <v>728</v>
      </c>
    </row>
    <row r="108" spans="1:3" x14ac:dyDescent="0.25">
      <c r="A108" s="5" t="s">
        <v>54</v>
      </c>
      <c r="B108" s="5" t="s">
        <v>200</v>
      </c>
      <c r="C108" s="5">
        <v>2946</v>
      </c>
    </row>
    <row r="109" spans="1:3" x14ac:dyDescent="0.25">
      <c r="A109" s="5" t="s">
        <v>54</v>
      </c>
      <c r="B109" s="5" t="s">
        <v>199</v>
      </c>
      <c r="C109" s="5">
        <v>7</v>
      </c>
    </row>
    <row r="110" spans="1:3" x14ac:dyDescent="0.25">
      <c r="A110" s="5" t="s">
        <v>54</v>
      </c>
      <c r="B110" s="5" t="s">
        <v>208</v>
      </c>
      <c r="C110" s="5">
        <v>36</v>
      </c>
    </row>
    <row r="111" spans="1:3" x14ac:dyDescent="0.25">
      <c r="A111" s="5" t="s">
        <v>54</v>
      </c>
      <c r="B111" s="5" t="s">
        <v>201</v>
      </c>
      <c r="C111" s="5">
        <v>147</v>
      </c>
    </row>
    <row r="112" spans="1:3" x14ac:dyDescent="0.25">
      <c r="A112" s="5" t="s">
        <v>136</v>
      </c>
      <c r="B112" s="5" t="s">
        <v>53</v>
      </c>
      <c r="C112" s="5">
        <v>5000</v>
      </c>
    </row>
    <row r="113" spans="1:3" x14ac:dyDescent="0.25">
      <c r="A113" s="5" t="s">
        <v>54</v>
      </c>
      <c r="B113" s="5" t="s">
        <v>135</v>
      </c>
      <c r="C113" s="5">
        <v>2025</v>
      </c>
    </row>
    <row r="114" spans="1:3" x14ac:dyDescent="0.25">
      <c r="A114" s="5" t="s">
        <v>54</v>
      </c>
      <c r="B114" s="5" t="s">
        <v>208</v>
      </c>
      <c r="C114" s="5">
        <v>101</v>
      </c>
    </row>
    <row r="115" spans="1:3" x14ac:dyDescent="0.25">
      <c r="A115" s="5" t="s">
        <v>54</v>
      </c>
      <c r="B115" s="5" t="s">
        <v>63</v>
      </c>
      <c r="C115" s="5">
        <v>750</v>
      </c>
    </row>
    <row r="116" spans="1:3" x14ac:dyDescent="0.25">
      <c r="A116" s="5" t="s">
        <v>54</v>
      </c>
      <c r="B116" s="5" t="s">
        <v>118</v>
      </c>
      <c r="C116" s="5">
        <v>737</v>
      </c>
    </row>
    <row r="117" spans="1:3" x14ac:dyDescent="0.25">
      <c r="A117" s="5" t="s">
        <v>54</v>
      </c>
      <c r="B117" s="5" t="s">
        <v>144</v>
      </c>
      <c r="C117" s="5">
        <v>750</v>
      </c>
    </row>
    <row r="118" spans="1:3" x14ac:dyDescent="0.25">
      <c r="A118" s="5" t="s">
        <v>54</v>
      </c>
      <c r="B118" s="5" t="s">
        <v>202</v>
      </c>
      <c r="C118" s="5">
        <v>38</v>
      </c>
    </row>
    <row r="119" spans="1:3" x14ac:dyDescent="0.25">
      <c r="A119" s="5" t="s">
        <v>54</v>
      </c>
      <c r="B119" s="5" t="s">
        <v>204</v>
      </c>
      <c r="C119" s="5">
        <v>37</v>
      </c>
    </row>
    <row r="120" spans="1:3" x14ac:dyDescent="0.25">
      <c r="A120" s="5" t="s">
        <v>54</v>
      </c>
      <c r="B120" s="5" t="s">
        <v>210</v>
      </c>
      <c r="C120" s="5">
        <v>38</v>
      </c>
    </row>
    <row r="121" spans="1:3" x14ac:dyDescent="0.25">
      <c r="A121" s="5" t="s">
        <v>54</v>
      </c>
      <c r="B121" s="5" t="s">
        <v>64</v>
      </c>
      <c r="C121" s="5">
        <v>250</v>
      </c>
    </row>
    <row r="122" spans="1:3" x14ac:dyDescent="0.25">
      <c r="A122" s="5" t="s">
        <v>54</v>
      </c>
      <c r="B122" s="5" t="s">
        <v>211</v>
      </c>
      <c r="C122" s="5">
        <v>250</v>
      </c>
    </row>
    <row r="123" spans="1:3" x14ac:dyDescent="0.25">
      <c r="A123" s="5" t="s">
        <v>54</v>
      </c>
      <c r="B123" s="5" t="s">
        <v>206</v>
      </c>
      <c r="C123" s="5">
        <v>13</v>
      </c>
    </row>
    <row r="124" spans="1:3" x14ac:dyDescent="0.25">
      <c r="A124" s="5" t="s">
        <v>54</v>
      </c>
      <c r="B124" s="5" t="s">
        <v>213</v>
      </c>
      <c r="C124" s="5">
        <v>13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C35"/>
  <sheetViews>
    <sheetView workbookViewId="0">
      <selection activeCell="B2" sqref="B2"/>
    </sheetView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t="s">
        <v>123</v>
      </c>
      <c r="B2" t="s">
        <v>53</v>
      </c>
      <c r="C2">
        <v>3000</v>
      </c>
    </row>
    <row r="3" spans="1:3" x14ac:dyDescent="0.25">
      <c r="A3" t="s">
        <v>54</v>
      </c>
      <c r="B3" t="s">
        <v>141</v>
      </c>
      <c r="C3">
        <v>130</v>
      </c>
    </row>
    <row r="4" spans="1:3" x14ac:dyDescent="0.25">
      <c r="A4" t="s">
        <v>54</v>
      </c>
      <c r="B4" t="s">
        <v>146</v>
      </c>
      <c r="C4">
        <v>2000</v>
      </c>
    </row>
    <row r="5" spans="1:3" x14ac:dyDescent="0.25">
      <c r="A5" t="s">
        <v>54</v>
      </c>
      <c r="B5" t="s">
        <v>166</v>
      </c>
      <c r="C5">
        <v>600</v>
      </c>
    </row>
    <row r="6" spans="1:3" x14ac:dyDescent="0.25">
      <c r="A6" t="s">
        <v>54</v>
      </c>
      <c r="B6" t="s">
        <v>125</v>
      </c>
      <c r="C6">
        <v>268</v>
      </c>
    </row>
    <row r="7" spans="1:3" x14ac:dyDescent="0.25">
      <c r="A7" t="s">
        <v>54</v>
      </c>
      <c r="B7" t="s">
        <v>126</v>
      </c>
      <c r="C7">
        <v>2</v>
      </c>
    </row>
    <row r="8" spans="1:3" x14ac:dyDescent="0.25">
      <c r="A8" t="s">
        <v>135</v>
      </c>
      <c r="B8" t="s">
        <v>53</v>
      </c>
      <c r="C8">
        <v>3158</v>
      </c>
    </row>
    <row r="9" spans="1:3" x14ac:dyDescent="0.25">
      <c r="A9" t="s">
        <v>54</v>
      </c>
      <c r="B9" t="s">
        <v>141</v>
      </c>
      <c r="C9">
        <v>369</v>
      </c>
    </row>
    <row r="10" spans="1:3" x14ac:dyDescent="0.25">
      <c r="A10" t="s">
        <v>54</v>
      </c>
      <c r="B10" t="s">
        <v>145</v>
      </c>
      <c r="C10">
        <v>2000</v>
      </c>
    </row>
    <row r="11" spans="1:3" x14ac:dyDescent="0.25">
      <c r="A11" t="s">
        <v>54</v>
      </c>
      <c r="B11" t="s">
        <v>63</v>
      </c>
      <c r="C11">
        <v>630</v>
      </c>
    </row>
    <row r="12" spans="1:3" x14ac:dyDescent="0.25">
      <c r="A12" t="s">
        <v>54</v>
      </c>
      <c r="B12" t="s">
        <v>117</v>
      </c>
      <c r="C12">
        <v>2</v>
      </c>
    </row>
    <row r="13" spans="1:3" x14ac:dyDescent="0.25">
      <c r="A13" t="s">
        <v>54</v>
      </c>
      <c r="B13" t="s">
        <v>211</v>
      </c>
      <c r="C13">
        <v>158</v>
      </c>
    </row>
    <row r="14" spans="1:3" x14ac:dyDescent="0.25">
      <c r="A14" t="s">
        <v>200</v>
      </c>
      <c r="B14" t="s">
        <v>53</v>
      </c>
      <c r="C14">
        <v>5146</v>
      </c>
    </row>
    <row r="15" spans="1:3" x14ac:dyDescent="0.25">
      <c r="A15" t="s">
        <v>54</v>
      </c>
      <c r="B15" t="s">
        <v>143</v>
      </c>
      <c r="C15">
        <v>1851</v>
      </c>
    </row>
    <row r="16" spans="1:3" x14ac:dyDescent="0.25">
      <c r="A16" t="s">
        <v>54</v>
      </c>
      <c r="B16" t="s">
        <v>139</v>
      </c>
      <c r="C16">
        <v>2000</v>
      </c>
    </row>
    <row r="17" spans="1:3" x14ac:dyDescent="0.25">
      <c r="A17" t="s">
        <v>54</v>
      </c>
      <c r="B17" t="s">
        <v>151</v>
      </c>
      <c r="C17">
        <v>271</v>
      </c>
    </row>
    <row r="18" spans="1:3" x14ac:dyDescent="0.25">
      <c r="A18" t="s">
        <v>54</v>
      </c>
      <c r="B18" t="s">
        <v>119</v>
      </c>
      <c r="C18">
        <v>767</v>
      </c>
    </row>
    <row r="19" spans="1:3" x14ac:dyDescent="0.25">
      <c r="A19" t="s">
        <v>54</v>
      </c>
      <c r="B19" t="s">
        <v>142</v>
      </c>
      <c r="C19">
        <v>257</v>
      </c>
    </row>
    <row r="20" spans="1:3" x14ac:dyDescent="0.25">
      <c r="A20" t="s">
        <v>115</v>
      </c>
      <c r="B20" t="s">
        <v>53</v>
      </c>
      <c r="C20">
        <v>6000</v>
      </c>
    </row>
    <row r="21" spans="1:3" x14ac:dyDescent="0.25">
      <c r="A21" t="s">
        <v>54</v>
      </c>
      <c r="B21" t="s">
        <v>138</v>
      </c>
      <c r="C21">
        <v>4260</v>
      </c>
    </row>
    <row r="22" spans="1:3" x14ac:dyDescent="0.25">
      <c r="A22" t="s">
        <v>54</v>
      </c>
      <c r="B22" t="s">
        <v>118</v>
      </c>
      <c r="C22">
        <v>439</v>
      </c>
    </row>
    <row r="23" spans="1:3" x14ac:dyDescent="0.25">
      <c r="A23" t="s">
        <v>54</v>
      </c>
      <c r="B23" t="s">
        <v>119</v>
      </c>
      <c r="C23">
        <v>761</v>
      </c>
    </row>
    <row r="24" spans="1:3" x14ac:dyDescent="0.25">
      <c r="A24" t="s">
        <v>54</v>
      </c>
      <c r="B24" t="s">
        <v>126</v>
      </c>
      <c r="C24">
        <v>540</v>
      </c>
    </row>
    <row r="25" spans="1:3" x14ac:dyDescent="0.25">
      <c r="A25" t="s">
        <v>121</v>
      </c>
      <c r="B25" t="s">
        <v>53</v>
      </c>
      <c r="C25">
        <v>15000</v>
      </c>
    </row>
    <row r="26" spans="1:3" x14ac:dyDescent="0.25">
      <c r="A26" t="s">
        <v>54</v>
      </c>
      <c r="B26" t="s">
        <v>148</v>
      </c>
      <c r="C26">
        <v>2850</v>
      </c>
    </row>
    <row r="27" spans="1:3" x14ac:dyDescent="0.25">
      <c r="A27" t="s">
        <v>54</v>
      </c>
      <c r="B27" t="s">
        <v>149</v>
      </c>
      <c r="C27">
        <v>3000</v>
      </c>
    </row>
    <row r="28" spans="1:3" x14ac:dyDescent="0.25">
      <c r="A28" t="s">
        <v>54</v>
      </c>
      <c r="B28" t="s">
        <v>137</v>
      </c>
      <c r="C28">
        <v>2000</v>
      </c>
    </row>
    <row r="29" spans="1:3" x14ac:dyDescent="0.25">
      <c r="A29" t="s">
        <v>54</v>
      </c>
      <c r="B29" t="s">
        <v>150</v>
      </c>
      <c r="C29">
        <v>2800</v>
      </c>
    </row>
    <row r="30" spans="1:3" x14ac:dyDescent="0.25">
      <c r="A30" t="s">
        <v>54</v>
      </c>
      <c r="B30" t="s">
        <v>117</v>
      </c>
      <c r="C30">
        <v>1211</v>
      </c>
    </row>
    <row r="31" spans="1:3" x14ac:dyDescent="0.25">
      <c r="A31" t="s">
        <v>54</v>
      </c>
      <c r="B31" t="s">
        <v>151</v>
      </c>
      <c r="C31">
        <v>1099</v>
      </c>
    </row>
    <row r="32" spans="1:3" x14ac:dyDescent="0.25">
      <c r="A32" t="s">
        <v>54</v>
      </c>
      <c r="B32" t="s">
        <v>144</v>
      </c>
      <c r="C32">
        <v>3</v>
      </c>
    </row>
    <row r="33" spans="1:3" x14ac:dyDescent="0.25">
      <c r="A33" t="s">
        <v>54</v>
      </c>
      <c r="B33" t="s">
        <v>166</v>
      </c>
      <c r="C33">
        <v>928</v>
      </c>
    </row>
    <row r="34" spans="1:3" x14ac:dyDescent="0.25">
      <c r="A34" t="s">
        <v>54</v>
      </c>
      <c r="B34" t="s">
        <v>142</v>
      </c>
      <c r="C34">
        <v>830</v>
      </c>
    </row>
    <row r="35" spans="1:3" x14ac:dyDescent="0.25">
      <c r="A35" t="s">
        <v>54</v>
      </c>
      <c r="B35" t="s">
        <v>125</v>
      </c>
      <c r="C35">
        <v>280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C37"/>
  <sheetViews>
    <sheetView workbookViewId="0">
      <selection activeCell="C1" sqref="C1"/>
    </sheetView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5" t="s">
        <v>63</v>
      </c>
      <c r="B2" s="5" t="s">
        <v>53</v>
      </c>
      <c r="C2">
        <v>2000</v>
      </c>
    </row>
    <row r="3" spans="1:3" x14ac:dyDescent="0.25">
      <c r="A3" s="5" t="s">
        <v>54</v>
      </c>
      <c r="B3" s="5" t="s">
        <v>140</v>
      </c>
      <c r="C3">
        <v>1300</v>
      </c>
    </row>
    <row r="4" spans="1:3" x14ac:dyDescent="0.25">
      <c r="A4" s="5" t="s">
        <v>54</v>
      </c>
      <c r="B4" s="5" t="s">
        <v>115</v>
      </c>
      <c r="C4">
        <v>134</v>
      </c>
    </row>
    <row r="5" spans="1:3" x14ac:dyDescent="0.25">
      <c r="A5" s="5" t="s">
        <v>54</v>
      </c>
      <c r="B5" s="5" t="s">
        <v>121</v>
      </c>
      <c r="C5">
        <v>266</v>
      </c>
    </row>
    <row r="6" spans="1:3" x14ac:dyDescent="0.25">
      <c r="A6" s="5" t="s">
        <v>54</v>
      </c>
      <c r="B6" s="5" t="s">
        <v>125</v>
      </c>
      <c r="C6">
        <v>300</v>
      </c>
    </row>
    <row r="7" spans="1:3" x14ac:dyDescent="0.25">
      <c r="A7" s="5" t="s">
        <v>117</v>
      </c>
      <c r="B7" s="5" t="s">
        <v>53</v>
      </c>
      <c r="C7">
        <v>2000</v>
      </c>
    </row>
    <row r="8" spans="1:3" x14ac:dyDescent="0.25">
      <c r="A8" s="5" t="s">
        <v>54</v>
      </c>
      <c r="B8" s="5" t="s">
        <v>140</v>
      </c>
      <c r="C8">
        <v>950</v>
      </c>
    </row>
    <row r="9" spans="1:3" x14ac:dyDescent="0.25">
      <c r="A9" s="5" t="s">
        <v>54</v>
      </c>
      <c r="B9" s="5" t="s">
        <v>147</v>
      </c>
      <c r="C9">
        <v>350</v>
      </c>
    </row>
    <row r="10" spans="1:3" x14ac:dyDescent="0.25">
      <c r="A10" s="5" t="s">
        <v>54</v>
      </c>
      <c r="B10" s="5" t="s">
        <v>121</v>
      </c>
      <c r="C10">
        <v>400</v>
      </c>
    </row>
    <row r="11" spans="1:3" x14ac:dyDescent="0.25">
      <c r="A11" s="5" t="s">
        <v>54</v>
      </c>
      <c r="B11" s="5" t="s">
        <v>211</v>
      </c>
      <c r="C11">
        <v>300</v>
      </c>
    </row>
    <row r="12" spans="1:3" x14ac:dyDescent="0.25">
      <c r="A12" s="5" t="s">
        <v>151</v>
      </c>
      <c r="B12" s="5" t="s">
        <v>53</v>
      </c>
      <c r="C12">
        <v>2000</v>
      </c>
    </row>
    <row r="13" spans="1:3" x14ac:dyDescent="0.25">
      <c r="A13" s="5" t="s">
        <v>54</v>
      </c>
      <c r="B13" s="5" t="s">
        <v>143</v>
      </c>
      <c r="C13">
        <v>560</v>
      </c>
    </row>
    <row r="14" spans="1:3" x14ac:dyDescent="0.25">
      <c r="A14" s="5" t="s">
        <v>54</v>
      </c>
      <c r="B14" s="5" t="s">
        <v>138</v>
      </c>
      <c r="C14">
        <v>740</v>
      </c>
    </row>
    <row r="15" spans="1:3" x14ac:dyDescent="0.25">
      <c r="A15" s="5" t="s">
        <v>54</v>
      </c>
      <c r="B15" s="5" t="s">
        <v>121</v>
      </c>
      <c r="C15">
        <v>400</v>
      </c>
    </row>
    <row r="16" spans="1:3" x14ac:dyDescent="0.25">
      <c r="A16" s="5" t="s">
        <v>54</v>
      </c>
      <c r="B16" s="5" t="s">
        <v>126</v>
      </c>
      <c r="C16">
        <v>300</v>
      </c>
    </row>
    <row r="17" spans="1:3" x14ac:dyDescent="0.25">
      <c r="A17" s="5" t="s">
        <v>118</v>
      </c>
      <c r="B17" s="5" t="s">
        <v>53</v>
      </c>
      <c r="C17">
        <v>2000</v>
      </c>
    </row>
    <row r="18" spans="1:3" x14ac:dyDescent="0.25">
      <c r="A18" s="5" t="s">
        <v>54</v>
      </c>
      <c r="B18" s="5" t="s">
        <v>141</v>
      </c>
      <c r="C18">
        <v>501</v>
      </c>
    </row>
    <row r="19" spans="1:3" x14ac:dyDescent="0.25">
      <c r="A19" s="5" t="s">
        <v>54</v>
      </c>
      <c r="B19" s="5" t="s">
        <v>143</v>
      </c>
      <c r="C19">
        <v>99</v>
      </c>
    </row>
    <row r="20" spans="1:3" x14ac:dyDescent="0.25">
      <c r="A20" s="5" t="s">
        <v>54</v>
      </c>
      <c r="B20" s="5" t="s">
        <v>154</v>
      </c>
      <c r="C20">
        <v>700</v>
      </c>
    </row>
    <row r="21" spans="1:3" x14ac:dyDescent="0.25">
      <c r="A21" s="5" t="s">
        <v>54</v>
      </c>
      <c r="B21" s="5" t="s">
        <v>121</v>
      </c>
      <c r="C21">
        <v>400</v>
      </c>
    </row>
    <row r="22" spans="1:3" x14ac:dyDescent="0.25">
      <c r="A22" s="5" t="s">
        <v>54</v>
      </c>
      <c r="B22" s="5" t="s">
        <v>142</v>
      </c>
      <c r="C22">
        <v>300</v>
      </c>
    </row>
    <row r="23" spans="1:3" x14ac:dyDescent="0.25">
      <c r="A23" s="5" t="s">
        <v>119</v>
      </c>
      <c r="B23" s="5" t="s">
        <v>53</v>
      </c>
      <c r="C23">
        <v>2000</v>
      </c>
    </row>
    <row r="24" spans="1:3" x14ac:dyDescent="0.25">
      <c r="A24" s="5" t="s">
        <v>54</v>
      </c>
      <c r="B24" s="5" t="s">
        <v>153</v>
      </c>
      <c r="C24">
        <v>1300</v>
      </c>
    </row>
    <row r="25" spans="1:3" x14ac:dyDescent="0.25">
      <c r="A25" s="5" t="s">
        <v>54</v>
      </c>
      <c r="B25" s="5" t="s">
        <v>121</v>
      </c>
      <c r="C25">
        <v>400</v>
      </c>
    </row>
    <row r="26" spans="1:3" x14ac:dyDescent="0.25">
      <c r="A26" s="5" t="s">
        <v>54</v>
      </c>
      <c r="B26" s="5" t="s">
        <v>64</v>
      </c>
      <c r="C26">
        <v>223</v>
      </c>
    </row>
    <row r="27" spans="1:3" x14ac:dyDescent="0.25">
      <c r="A27" s="5" t="s">
        <v>54</v>
      </c>
      <c r="B27" s="5" t="s">
        <v>142</v>
      </c>
      <c r="C27">
        <v>8</v>
      </c>
    </row>
    <row r="28" spans="1:3" x14ac:dyDescent="0.25">
      <c r="A28" s="5" t="s">
        <v>54</v>
      </c>
      <c r="B28" s="5" t="s">
        <v>211</v>
      </c>
      <c r="C28">
        <v>70</v>
      </c>
    </row>
    <row r="29" spans="1:3" x14ac:dyDescent="0.25">
      <c r="A29" s="5" t="s">
        <v>144</v>
      </c>
      <c r="B29" s="5" t="s">
        <v>53</v>
      </c>
      <c r="C29">
        <v>2000</v>
      </c>
    </row>
    <row r="30" spans="1:3" x14ac:dyDescent="0.25">
      <c r="A30" s="5" t="s">
        <v>54</v>
      </c>
      <c r="B30" s="5" t="s">
        <v>154</v>
      </c>
      <c r="C30">
        <v>300</v>
      </c>
    </row>
    <row r="31" spans="1:3" x14ac:dyDescent="0.25">
      <c r="A31" s="5" t="s">
        <v>54</v>
      </c>
      <c r="B31" s="5" t="s">
        <v>152</v>
      </c>
      <c r="C31">
        <v>1000</v>
      </c>
    </row>
    <row r="32" spans="1:3" x14ac:dyDescent="0.25">
      <c r="A32" s="5" t="s">
        <v>54</v>
      </c>
      <c r="B32" s="5" t="s">
        <v>121</v>
      </c>
      <c r="C32">
        <v>400</v>
      </c>
    </row>
    <row r="33" spans="1:3" x14ac:dyDescent="0.25">
      <c r="A33" s="5" t="s">
        <v>54</v>
      </c>
      <c r="B33" s="5" t="s">
        <v>125</v>
      </c>
      <c r="C33">
        <v>300</v>
      </c>
    </row>
    <row r="34" spans="1:3" x14ac:dyDescent="0.25">
      <c r="A34" s="5" t="s">
        <v>166</v>
      </c>
      <c r="B34" s="5" t="s">
        <v>53</v>
      </c>
      <c r="C34">
        <v>2000</v>
      </c>
    </row>
    <row r="35" spans="1:3" x14ac:dyDescent="0.25">
      <c r="A35" s="5" t="s">
        <v>54</v>
      </c>
      <c r="B35" s="5" t="s">
        <v>140</v>
      </c>
      <c r="C35">
        <v>1300</v>
      </c>
    </row>
    <row r="36" spans="1:3" x14ac:dyDescent="0.25">
      <c r="A36" s="5" t="s">
        <v>54</v>
      </c>
      <c r="B36" s="5" t="s">
        <v>121</v>
      </c>
      <c r="C36">
        <v>400</v>
      </c>
    </row>
    <row r="37" spans="1:3" x14ac:dyDescent="0.25">
      <c r="A37" s="5" t="s">
        <v>54</v>
      </c>
      <c r="B37" s="5" t="s">
        <v>125</v>
      </c>
      <c r="C37">
        <v>300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C24"/>
  <sheetViews>
    <sheetView workbookViewId="0">
      <selection activeCell="C2" sqref="C2"/>
    </sheetView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t="s">
        <v>64</v>
      </c>
      <c r="B2" t="s">
        <v>53</v>
      </c>
      <c r="C2">
        <v>800</v>
      </c>
    </row>
    <row r="3" spans="1:3" x14ac:dyDescent="0.25">
      <c r="A3" t="s">
        <v>54</v>
      </c>
      <c r="B3" t="s">
        <v>143</v>
      </c>
      <c r="C3">
        <v>490</v>
      </c>
    </row>
    <row r="4" spans="1:3" x14ac:dyDescent="0.25">
      <c r="A4" t="s">
        <v>54</v>
      </c>
      <c r="B4" t="s">
        <v>140</v>
      </c>
      <c r="C4">
        <v>150</v>
      </c>
    </row>
    <row r="5" spans="1:3" x14ac:dyDescent="0.25">
      <c r="A5" t="s">
        <v>54</v>
      </c>
      <c r="B5" t="s">
        <v>115</v>
      </c>
      <c r="C5">
        <v>80</v>
      </c>
    </row>
    <row r="6" spans="1:3" x14ac:dyDescent="0.25">
      <c r="A6" t="s">
        <v>54</v>
      </c>
      <c r="B6" t="s">
        <v>144</v>
      </c>
      <c r="C6">
        <v>80</v>
      </c>
    </row>
    <row r="7" spans="1:3" x14ac:dyDescent="0.25">
      <c r="A7" t="s">
        <v>142</v>
      </c>
      <c r="B7" t="s">
        <v>53</v>
      </c>
      <c r="C7">
        <v>1500</v>
      </c>
    </row>
    <row r="8" spans="1:3" x14ac:dyDescent="0.25">
      <c r="A8" t="s">
        <v>54</v>
      </c>
      <c r="B8" t="s">
        <v>150</v>
      </c>
      <c r="C8">
        <v>1200</v>
      </c>
    </row>
    <row r="9" spans="1:3" x14ac:dyDescent="0.25">
      <c r="A9" t="s">
        <v>54</v>
      </c>
      <c r="B9" t="s">
        <v>115</v>
      </c>
      <c r="C9">
        <v>150</v>
      </c>
    </row>
    <row r="10" spans="1:3" x14ac:dyDescent="0.25">
      <c r="A10" t="s">
        <v>54</v>
      </c>
      <c r="B10" t="s">
        <v>144</v>
      </c>
      <c r="C10">
        <v>150</v>
      </c>
    </row>
    <row r="11" spans="1:3" x14ac:dyDescent="0.25">
      <c r="A11" t="s">
        <v>125</v>
      </c>
      <c r="B11" t="s">
        <v>53</v>
      </c>
      <c r="C11">
        <v>1500</v>
      </c>
    </row>
    <row r="12" spans="1:3" x14ac:dyDescent="0.25">
      <c r="A12" t="s">
        <v>54</v>
      </c>
      <c r="B12" t="s">
        <v>140</v>
      </c>
      <c r="C12">
        <v>300</v>
      </c>
    </row>
    <row r="13" spans="1:3" x14ac:dyDescent="0.25">
      <c r="A13" t="s">
        <v>54</v>
      </c>
      <c r="B13" t="s">
        <v>153</v>
      </c>
      <c r="C13">
        <v>900</v>
      </c>
    </row>
    <row r="14" spans="1:3" x14ac:dyDescent="0.25">
      <c r="A14" t="s">
        <v>54</v>
      </c>
      <c r="B14" t="s">
        <v>115</v>
      </c>
      <c r="C14">
        <v>150</v>
      </c>
    </row>
    <row r="15" spans="1:3" x14ac:dyDescent="0.25">
      <c r="A15" t="s">
        <v>54</v>
      </c>
      <c r="B15" t="s">
        <v>144</v>
      </c>
      <c r="C15">
        <v>150</v>
      </c>
    </row>
    <row r="16" spans="1:3" x14ac:dyDescent="0.25">
      <c r="A16" t="s">
        <v>211</v>
      </c>
      <c r="B16" t="s">
        <v>53</v>
      </c>
      <c r="C16">
        <v>1000</v>
      </c>
    </row>
    <row r="17" spans="1:3" x14ac:dyDescent="0.25">
      <c r="A17" t="s">
        <v>54</v>
      </c>
      <c r="B17" t="s">
        <v>148</v>
      </c>
      <c r="C17">
        <v>150</v>
      </c>
    </row>
    <row r="18" spans="1:3" x14ac:dyDescent="0.25">
      <c r="A18" t="s">
        <v>54</v>
      </c>
      <c r="B18" t="s">
        <v>147</v>
      </c>
      <c r="C18">
        <v>650</v>
      </c>
    </row>
    <row r="19" spans="1:3" x14ac:dyDescent="0.25">
      <c r="A19" t="s">
        <v>54</v>
      </c>
      <c r="B19" t="s">
        <v>115</v>
      </c>
      <c r="C19">
        <v>100</v>
      </c>
    </row>
    <row r="20" spans="1:3" x14ac:dyDescent="0.25">
      <c r="A20" t="s">
        <v>54</v>
      </c>
      <c r="B20" t="s">
        <v>144</v>
      </c>
      <c r="C20">
        <v>100</v>
      </c>
    </row>
    <row r="21" spans="1:3" x14ac:dyDescent="0.25">
      <c r="A21" t="s">
        <v>126</v>
      </c>
      <c r="B21" t="s">
        <v>53</v>
      </c>
      <c r="C21">
        <v>1000</v>
      </c>
    </row>
    <row r="22" spans="1:3" x14ac:dyDescent="0.25">
      <c r="A22" t="s">
        <v>54</v>
      </c>
      <c r="B22" t="s">
        <v>153</v>
      </c>
      <c r="C22">
        <v>800</v>
      </c>
    </row>
    <row r="23" spans="1:3" x14ac:dyDescent="0.25">
      <c r="A23" t="s">
        <v>54</v>
      </c>
      <c r="B23" t="s">
        <v>115</v>
      </c>
      <c r="C23">
        <v>100</v>
      </c>
    </row>
    <row r="24" spans="1:3" x14ac:dyDescent="0.25">
      <c r="A24" t="s">
        <v>54</v>
      </c>
      <c r="B24" t="s">
        <v>144</v>
      </c>
      <c r="C24">
        <v>100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19A3-1B0E-48DB-8A11-76DE71678EC4}">
  <dimension ref="A1:D10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55</v>
      </c>
      <c r="B2" t="s">
        <v>56</v>
      </c>
      <c r="C2" t="s">
        <v>57</v>
      </c>
      <c r="D2" t="s">
        <v>58</v>
      </c>
    </row>
    <row r="3" spans="1:4" x14ac:dyDescent="0.25">
      <c r="A3" t="s">
        <v>73</v>
      </c>
      <c r="B3" t="s">
        <v>59</v>
      </c>
      <c r="C3" t="s">
        <v>59</v>
      </c>
      <c r="D3" t="s">
        <v>18</v>
      </c>
    </row>
    <row r="4" spans="1:4" x14ac:dyDescent="0.25">
      <c r="A4" t="s">
        <v>76</v>
      </c>
      <c r="B4" t="s">
        <v>60</v>
      </c>
      <c r="C4" t="s">
        <v>217</v>
      </c>
      <c r="D4" t="s">
        <v>218</v>
      </c>
    </row>
    <row r="5" spans="1:4" x14ac:dyDescent="0.25">
      <c r="A5" t="s">
        <v>74</v>
      </c>
      <c r="B5" t="s">
        <v>60</v>
      </c>
      <c r="C5" t="s">
        <v>66</v>
      </c>
      <c r="D5" t="s">
        <v>47</v>
      </c>
    </row>
    <row r="6" spans="1:4" x14ac:dyDescent="0.25">
      <c r="A6" t="s">
        <v>77</v>
      </c>
      <c r="B6" t="s">
        <v>59</v>
      </c>
      <c r="C6" t="s">
        <v>66</v>
      </c>
      <c r="D6" t="s">
        <v>47</v>
      </c>
    </row>
    <row r="7" spans="1:4" x14ac:dyDescent="0.25">
      <c r="A7" t="s">
        <v>75</v>
      </c>
      <c r="B7" t="s">
        <v>60</v>
      </c>
      <c r="C7" t="s">
        <v>219</v>
      </c>
      <c r="D7" t="s">
        <v>220</v>
      </c>
    </row>
    <row r="8" spans="1:4" x14ac:dyDescent="0.25">
      <c r="A8" t="s">
        <v>78</v>
      </c>
      <c r="B8" t="s">
        <v>59</v>
      </c>
      <c r="C8" t="s">
        <v>66</v>
      </c>
      <c r="D8" t="s">
        <v>47</v>
      </c>
    </row>
    <row r="9" spans="1:4" x14ac:dyDescent="0.25">
      <c r="A9" t="s">
        <v>155</v>
      </c>
      <c r="B9" t="s">
        <v>60</v>
      </c>
      <c r="C9" t="s">
        <v>60</v>
      </c>
      <c r="D9" t="s">
        <v>18</v>
      </c>
    </row>
    <row r="10" spans="1:4" x14ac:dyDescent="0.25">
      <c r="A10" t="s">
        <v>156</v>
      </c>
      <c r="B10" t="s">
        <v>157</v>
      </c>
      <c r="C10" t="s">
        <v>157</v>
      </c>
      <c r="D10" t="s">
        <v>18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9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61</v>
      </c>
      <c r="B2" t="s">
        <v>56</v>
      </c>
      <c r="C2" t="s">
        <v>57</v>
      </c>
      <c r="D2" t="s">
        <v>58</v>
      </c>
    </row>
    <row r="3" spans="1:4" x14ac:dyDescent="0.25">
      <c r="A3" t="s">
        <v>51</v>
      </c>
      <c r="B3" t="s">
        <v>158</v>
      </c>
      <c r="C3" t="s">
        <v>158</v>
      </c>
      <c r="D3" t="s">
        <v>18</v>
      </c>
    </row>
    <row r="4" spans="1:4" x14ac:dyDescent="0.25">
      <c r="A4" t="s">
        <v>84</v>
      </c>
      <c r="B4" t="s">
        <v>158</v>
      </c>
      <c r="C4" t="s">
        <v>158</v>
      </c>
      <c r="D4" t="s">
        <v>18</v>
      </c>
    </row>
    <row r="5" spans="1:4" x14ac:dyDescent="0.25">
      <c r="A5" t="s">
        <v>80</v>
      </c>
      <c r="B5" t="s">
        <v>158</v>
      </c>
      <c r="C5" t="s">
        <v>158</v>
      </c>
      <c r="D5" t="s">
        <v>18</v>
      </c>
    </row>
    <row r="6" spans="1:4" x14ac:dyDescent="0.25">
      <c r="A6" t="s">
        <v>82</v>
      </c>
      <c r="B6" t="s">
        <v>158</v>
      </c>
      <c r="C6" t="s">
        <v>158</v>
      </c>
      <c r="D6" t="s">
        <v>18</v>
      </c>
    </row>
    <row r="7" spans="1:4" x14ac:dyDescent="0.25">
      <c r="A7" t="s">
        <v>159</v>
      </c>
      <c r="B7" t="s">
        <v>158</v>
      </c>
      <c r="C7" t="s">
        <v>158</v>
      </c>
      <c r="D7" t="s">
        <v>18</v>
      </c>
    </row>
    <row r="8" spans="1:4" x14ac:dyDescent="0.25">
      <c r="A8" t="s">
        <v>160</v>
      </c>
      <c r="B8" t="s">
        <v>158</v>
      </c>
      <c r="C8" t="s">
        <v>158</v>
      </c>
      <c r="D8" t="s">
        <v>18</v>
      </c>
    </row>
    <row r="9" spans="1:4" x14ac:dyDescent="0.25">
      <c r="A9" t="s">
        <v>168</v>
      </c>
      <c r="B9" t="s">
        <v>158</v>
      </c>
      <c r="C9" t="s">
        <v>158</v>
      </c>
      <c r="D9" t="s">
        <v>18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7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62</v>
      </c>
      <c r="B2" t="s">
        <v>56</v>
      </c>
      <c r="C2" t="s">
        <v>57</v>
      </c>
      <c r="D2" t="s">
        <v>58</v>
      </c>
    </row>
    <row r="3" spans="1:4" x14ac:dyDescent="0.25">
      <c r="A3" t="s">
        <v>30</v>
      </c>
      <c r="B3" t="s">
        <v>163</v>
      </c>
      <c r="C3" t="s">
        <v>163</v>
      </c>
      <c r="D3" t="s">
        <v>18</v>
      </c>
    </row>
    <row r="4" spans="1:4" x14ac:dyDescent="0.25">
      <c r="A4" t="s">
        <v>86</v>
      </c>
      <c r="B4" t="s">
        <v>161</v>
      </c>
      <c r="C4" t="s">
        <v>161</v>
      </c>
      <c r="D4" t="s">
        <v>18</v>
      </c>
    </row>
    <row r="5" spans="1:4" x14ac:dyDescent="0.25">
      <c r="A5" t="s">
        <v>87</v>
      </c>
      <c r="B5" t="s">
        <v>161</v>
      </c>
      <c r="C5" t="s">
        <v>161</v>
      </c>
      <c r="D5" t="s">
        <v>18</v>
      </c>
    </row>
    <row r="6" spans="1:4" x14ac:dyDescent="0.25">
      <c r="A6" t="s">
        <v>221</v>
      </c>
      <c r="B6" t="s">
        <v>162</v>
      </c>
      <c r="C6" t="s">
        <v>162</v>
      </c>
      <c r="D6" t="s">
        <v>18</v>
      </c>
    </row>
    <row r="7" spans="1:4" x14ac:dyDescent="0.25">
      <c r="A7" t="s">
        <v>164</v>
      </c>
      <c r="B7" t="s">
        <v>162</v>
      </c>
      <c r="C7" t="s">
        <v>162</v>
      </c>
      <c r="D7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2025-12-11T01:30:37Z</dcterms:modified>
</cp:coreProperties>
</file>