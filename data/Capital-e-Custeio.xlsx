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321D50B4-0CA6-4B3C-96A1-22B01D802DB5}" xr6:coauthVersionLast="47" xr6:coauthVersionMax="47" xr10:uidLastSave="{00000000-0000-0000-0000-000000000000}"/>
  <bookViews>
    <workbookView xWindow="28680" yWindow="-120" windowWidth="29040" windowHeight="15720" tabRatio="500" xr2:uid="{17A8A952-FE35-46C7-9AF2-0E51CADC2950}"/>
  </bookViews>
  <sheets>
    <sheet name="Capital-vs-Custeio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I_">'Capital-vs-Custeio'!$C$24</definedName>
    <definedName name="Ian">'Capital-vs-Custeio'!$C$25</definedName>
    <definedName name="n_">'Capital-vs-Custeio'!$C$23</definedName>
    <definedName name="r_">'Capital-vs-Custeio'!$C$22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16" i="1"/>
  <c r="D13" i="1"/>
  <c r="D10" i="1"/>
  <c r="D7" i="1"/>
  <c r="D3" i="1"/>
  <c r="C3" i="1"/>
  <c r="G16" i="1"/>
  <c r="F16" i="1"/>
  <c r="E16" i="1"/>
  <c r="C16" i="1"/>
  <c r="G13" i="1"/>
  <c r="F13" i="1"/>
  <c r="E13" i="1"/>
  <c r="C13" i="1"/>
  <c r="G10" i="1"/>
  <c r="F10" i="1"/>
  <c r="E10" i="1"/>
  <c r="C10" i="1"/>
  <c r="G7" i="1"/>
  <c r="F7" i="1"/>
  <c r="E7" i="1"/>
  <c r="C7" i="1"/>
  <c r="G3" i="1"/>
  <c r="G15" i="1"/>
  <c r="F15" i="1"/>
  <c r="E15" i="1"/>
  <c r="D15" i="1"/>
  <c r="C15" i="1"/>
  <c r="G12" i="1"/>
  <c r="F12" i="1"/>
  <c r="E12" i="1"/>
  <c r="D12" i="1"/>
  <c r="C12" i="1"/>
  <c r="G9" i="1"/>
  <c r="F9" i="1"/>
  <c r="E9" i="1"/>
  <c r="D9" i="1"/>
  <c r="C9" i="1"/>
  <c r="G6" i="1"/>
  <c r="F6" i="1"/>
  <c r="E6" i="1"/>
  <c r="D6" i="1"/>
  <c r="C6" i="1"/>
  <c r="G83" i="1"/>
  <c r="G80" i="1" s="1"/>
  <c r="G77" i="1"/>
  <c r="G74" i="1" s="1"/>
  <c r="G73" i="1" s="1"/>
  <c r="G71" i="1"/>
  <c r="G65" i="1"/>
  <c r="G4" i="1" s="1"/>
  <c r="F83" i="1"/>
  <c r="F80" i="1" s="1"/>
  <c r="F77" i="1"/>
  <c r="F74" i="1" s="1"/>
  <c r="F71" i="1"/>
  <c r="F65" i="1"/>
  <c r="E83" i="1"/>
  <c r="E80" i="1" s="1"/>
  <c r="E77" i="1"/>
  <c r="E74" i="1" s="1"/>
  <c r="E73" i="1" s="1"/>
  <c r="E71" i="1"/>
  <c r="E65" i="1"/>
  <c r="D83" i="1"/>
  <c r="D80" i="1" s="1"/>
  <c r="D77" i="1"/>
  <c r="D74" i="1" s="1"/>
  <c r="D71" i="1"/>
  <c r="D68" i="1" s="1"/>
  <c r="D65" i="1"/>
  <c r="D62" i="1" s="1"/>
  <c r="D8" i="1" s="1"/>
  <c r="C83" i="1"/>
  <c r="C80" i="1" s="1"/>
  <c r="C77" i="1"/>
  <c r="C74" i="1" s="1"/>
  <c r="C71" i="1"/>
  <c r="C68" i="1" s="1"/>
  <c r="C67" i="1" s="1"/>
  <c r="C65" i="1"/>
  <c r="D168" i="1"/>
  <c r="D169" i="1" s="1"/>
  <c r="G111" i="1"/>
  <c r="F111" i="1"/>
  <c r="E111" i="1"/>
  <c r="D111" i="1"/>
  <c r="G183" i="1"/>
  <c r="F183" i="1"/>
  <c r="E183" i="1"/>
  <c r="D183" i="1"/>
  <c r="G169" i="1"/>
  <c r="F169" i="1"/>
  <c r="E169" i="1"/>
  <c r="G141" i="1"/>
  <c r="F141" i="1"/>
  <c r="E141" i="1"/>
  <c r="G126" i="1"/>
  <c r="F126" i="1"/>
  <c r="E126" i="1"/>
  <c r="D141" i="1"/>
  <c r="D126" i="1"/>
  <c r="C111" i="1"/>
  <c r="C183" i="1"/>
  <c r="C168" i="1"/>
  <c r="C169" i="1" s="1"/>
  <c r="C141" i="1"/>
  <c r="C126" i="1"/>
  <c r="E58" i="1"/>
  <c r="C24" i="1" s="1"/>
  <c r="C25" i="1" s="1"/>
  <c r="C36" i="1" s="1"/>
  <c r="D36" i="1"/>
  <c r="H31" i="1"/>
  <c r="G31" i="1"/>
  <c r="F31" i="1"/>
  <c r="E31" i="1"/>
  <c r="H30" i="1"/>
  <c r="G30" i="1"/>
  <c r="F30" i="1"/>
  <c r="E30" i="1"/>
  <c r="H29" i="1"/>
  <c r="G29" i="1"/>
  <c r="F29" i="1"/>
  <c r="E29" i="1"/>
  <c r="E4" i="1" l="1"/>
  <c r="F4" i="1"/>
  <c r="C4" i="1"/>
  <c r="F17" i="1"/>
  <c r="F79" i="1"/>
  <c r="G17" i="1"/>
  <c r="G79" i="1"/>
  <c r="D67" i="1"/>
  <c r="D11" i="1"/>
  <c r="C17" i="1"/>
  <c r="C79" i="1"/>
  <c r="D79" i="1"/>
  <c r="D17" i="1"/>
  <c r="F73" i="1"/>
  <c r="F14" i="1"/>
  <c r="C73" i="1"/>
  <c r="C14" i="1"/>
  <c r="D73" i="1"/>
  <c r="D14" i="1"/>
  <c r="E79" i="1"/>
  <c r="E17" i="1"/>
  <c r="C62" i="1"/>
  <c r="C61" i="1" s="1"/>
  <c r="C11" i="1"/>
  <c r="E14" i="1"/>
  <c r="D4" i="1"/>
  <c r="G14" i="1"/>
  <c r="C29" i="1"/>
  <c r="C30" i="1"/>
  <c r="F5" i="1"/>
  <c r="C5" i="1"/>
  <c r="D5" i="1"/>
  <c r="E5" i="1"/>
  <c r="G5" i="1"/>
  <c r="C39" i="1"/>
  <c r="C31" i="1"/>
  <c r="C8" i="1" l="1"/>
  <c r="C37" i="1"/>
  <c r="D61" i="1" l="1"/>
  <c r="E62" i="1"/>
  <c r="F62" i="1"/>
  <c r="G62" i="1"/>
  <c r="E68" i="1"/>
  <c r="F68" i="1"/>
  <c r="G68" i="1"/>
  <c r="G67" i="1" l="1"/>
  <c r="G11" i="1"/>
  <c r="E67" i="1"/>
  <c r="E11" i="1"/>
  <c r="G61" i="1"/>
  <c r="G8" i="1"/>
  <c r="F61" i="1"/>
  <c r="F8" i="1"/>
  <c r="F67" i="1"/>
  <c r="F11" i="1"/>
  <c r="E61" i="1"/>
  <c r="E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tc={45B8C082-E515-4602-A4DE-4D5D7F8B1A6C}</author>
    <author>Autor desconhecido</author>
  </authors>
  <commentList>
    <comment ref="B8" authorId="0" shapeId="0" xr:uid="{45B8C082-E515-4602-A4DE-4D5D7F8B1A6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Considerando férias e 13º (+1.3 salários) e reserva para ausências, maternidades (15%)</t>
      </text>
    </comment>
    <comment ref="F28" authorId="1" shapeId="0" xr:uid="{9C86EAB4-EDA8-4B89-B2C1-56D05B17FADD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Materiais, exames simples, vacinas de consumo local, materiais descartáveis, pequenas reposições</t>
        </r>
      </text>
    </comment>
    <comment ref="G28" authorId="1" shapeId="0" xr:uid="{856400CA-EB6E-45F5-A760-C26766EE178C}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Deslocamento para visitas domiciliares, busca ativa, transporte de amostras/insumos, auxílio a ACS/PSF </t>
        </r>
      </text>
    </comment>
    <comment ref="H28" authorId="1" shapeId="0" xr:uid="{34071513-BC8F-41AC-873A-00DC9DB51551}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Coordenação técnica, supervisores/especialistas que acompanham várias equipes — custo alocado por equipe </t>
        </r>
      </text>
    </comment>
  </commentList>
</comments>
</file>

<file path=xl/sharedStrings.xml><?xml version="1.0" encoding="utf-8"?>
<sst xmlns="http://schemas.openxmlformats.org/spreadsheetml/2006/main" count="177" uniqueCount="151">
  <si>
    <t>Amortização anual para Investimento em nova UBS</t>
  </si>
  <si>
    <t>r</t>
  </si>
  <si>
    <t>Taxa de desconto anual:</t>
  </si>
  <si>
    <t>n</t>
  </si>
  <si>
    <t>Vida útil em anos;</t>
  </si>
  <si>
    <t>I</t>
  </si>
  <si>
    <t>Investimento (custo de implantação) na nova UBS: Obra, reforma e equipamentos</t>
  </si>
  <si>
    <t>Ian</t>
  </si>
  <si>
    <t>Investimento anualizado da nova UBS</t>
  </si>
  <si>
    <t>Capital (capex)</t>
  </si>
  <si>
    <t>(R$/ano)</t>
  </si>
  <si>
    <t>Folha mensal</t>
  </si>
  <si>
    <t>Encargos</t>
  </si>
  <si>
    <t>Insumos</t>
  </si>
  <si>
    <t>Transporte</t>
  </si>
  <si>
    <t>Supervisão</t>
  </si>
  <si>
    <t>eSF</t>
  </si>
  <si>
    <t>eSB</t>
  </si>
  <si>
    <t>eMulti (1/9)</t>
  </si>
  <si>
    <t>Fonte do orçamento anual: valor total APS no município. Diferencie capex vs custeio (secretaria municipal / SIOPS)</t>
  </si>
  <si>
    <t>Capex:</t>
  </si>
  <si>
    <t>Custeio:</t>
  </si>
  <si>
    <t>Custo por equipe: folha + 30–90% encargos (variável por regime), custo de insumos por equipe/ano, transporte, supervisão.</t>
  </si>
  <si>
    <t>Cvar/pop</t>
  </si>
  <si>
    <t>Custo fixo (adm):</t>
  </si>
  <si>
    <t>Fonte: https://cbc2022.abcustos.org.br/rest/artigo/98/semFolhaDeRosto/pdf?chaveDeAcessoNaoAutenticado=97827de5f831bdf92b6c6bd603308190ea2769c6</t>
  </si>
  <si>
    <t>De (I a V)</t>
  </si>
  <si>
    <t>PORTE UBS</t>
  </si>
  <si>
    <t>VALORES PARA CONSTRUÇÃO DE UBS - 2024 (R$)</t>
  </si>
  <si>
    <t>Norte</t>
  </si>
  <si>
    <t>Nordeste</t>
  </si>
  <si>
    <t>Sudeste</t>
  </si>
  <si>
    <t>Sul</t>
  </si>
  <si>
    <t>Centro-Oeste</t>
  </si>
  <si>
    <t>UBS I</t>
  </si>
  <si>
    <t>R$ 1.887.023,00</t>
  </si>
  <si>
    <t>R$ 1.816.494,00</t>
  </si>
  <si>
    <t>R$ 2.012.825,00</t>
  </si>
  <si>
    <t>R$ 2.026.110,00</t>
  </si>
  <si>
    <t>R$ 1.881.388,00</t>
  </si>
  <si>
    <t>UBS II</t>
  </si>
  <si>
    <t>R$ 2.283.728,00</t>
  </si>
  <si>
    <t>R$ 2.198.371,00</t>
  </si>
  <si>
    <t>R$ 2.435.976,00</t>
  </si>
  <si>
    <t>R$ 2.452.054,00</t>
  </si>
  <si>
    <t>R$ 2.276.907,00</t>
  </si>
  <si>
    <t>UBS III</t>
  </si>
  <si>
    <t>R$ 2.592.535,00</t>
  </si>
  <si>
    <t>R$ 2.495.636,00</t>
  </si>
  <si>
    <t>R$ 2.765.371,00</t>
  </si>
  <si>
    <t>R$ 2.783.622,00</t>
  </si>
  <si>
    <t>R$ 2.584.792,00</t>
  </si>
  <si>
    <t>UBS IV</t>
  </si>
  <si>
    <t>R$ 4.960.637,00</t>
  </si>
  <si>
    <t>R$ 4.775.227,00</t>
  </si>
  <si>
    <t>R$ 5.291.345,00</t>
  </si>
  <si>
    <t>R$ 5.326.268,00</t>
  </si>
  <si>
    <t>R$ 4.945.820,00</t>
  </si>
  <si>
    <t>UBS V</t>
  </si>
  <si>
    <t>R$ 6.173.319,00</t>
  </si>
  <si>
    <t>R$ 5.942.585,00</t>
  </si>
  <si>
    <t>R$ 6.584.873,00</t>
  </si>
  <si>
    <t>R$ 6.628.334,00</t>
  </si>
  <si>
    <t>R$ 6.154.881,00</t>
  </si>
  <si>
    <t>https://www.gov.br/saude/pt-br/assuntos/novo-pac-saude/unidades-basicas-de-saude/faq-ubs/analise-habilitacao-e-selecao-das-propostas/valores-para-construcao-de-nova-ubs</t>
  </si>
  <si>
    <t>Lagoa Santa</t>
  </si>
  <si>
    <t>Belo Horizonte</t>
  </si>
  <si>
    <t>Contagem</t>
  </si>
  <si>
    <t>Divinópolis</t>
  </si>
  <si>
    <t>Montes Claros</t>
  </si>
  <si>
    <t xml:space="preserve">Links: </t>
  </si>
  <si>
    <t>https://fiscalizandocomtce.tce.mg.gov.br/#/public/lrf</t>
  </si>
  <si>
    <t>Fonte: (Internet): Instrução Normativa RFB nº 1.700/2017</t>
  </si>
  <si>
    <t>Custo anual Nova UBS:</t>
  </si>
  <si>
    <t>Fonte: Ver tabela e fonte abaixo</t>
  </si>
  <si>
    <t xml:space="preserve">Fonte: </t>
  </si>
  <si>
    <t>https://relatorioaps.saude.gov.br/gerenciaaps/pagamento</t>
  </si>
  <si>
    <t>Fonte:</t>
  </si>
  <si>
    <t>https://egestorab.saude.gov.br/gestaoaps/relFinanciamentoParcela.xhtml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</si>
  <si>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</si>
  <si>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</si>
  <si>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</si>
  <si>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</si>
  <si>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</si>
  <si>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</si>
  <si>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</si>
  <si>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</si>
  <si>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</si>
  <si>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</si>
  <si>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</si>
  <si>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</si>
  <si>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Quantidade eSF (média anual)</t>
  </si>
  <si>
    <t>Custo por eSF (média anual)</t>
  </si>
  <si>
    <t>Valor por equipe eSF (média)</t>
  </si>
  <si>
    <t>Equipes</t>
  </si>
  <si>
    <t>Incentivo financeiro anual (pop)</t>
  </si>
  <si>
    <t xml:space="preserve">Total eSF anual </t>
  </si>
  <si>
    <t>Indicador Sintético Final (ISF) (0 a 10)</t>
  </si>
  <si>
    <t>eSF: Desempenho ISF anual</t>
  </si>
  <si>
    <t>Valor por equipe eSB (média)</t>
  </si>
  <si>
    <t xml:space="preserve">Total eSB anual </t>
  </si>
  <si>
    <t>eSB: Desempenho ISF médio (mensal)</t>
  </si>
  <si>
    <t>eSB: Desempenho ISF anual</t>
  </si>
  <si>
    <t>eSB: CEO (atenc. sec/terc.) anual</t>
  </si>
  <si>
    <t>eSB: LRDP (laboratório Prot. Dent) anual</t>
  </si>
  <si>
    <t>Equipes (média)</t>
  </si>
  <si>
    <t xml:space="preserve">Total ACS anual </t>
  </si>
  <si>
    <t>Siglas</t>
  </si>
  <si>
    <r>
      <t xml:space="preserve">eCR - </t>
    </r>
    <r>
      <rPr>
        <sz val="14"/>
        <rFont val="Calibri"/>
        <family val="2"/>
      </rPr>
      <t>equipe de Consultório na Rua</t>
    </r>
  </si>
  <si>
    <r>
      <t xml:space="preserve">UBSF - </t>
    </r>
    <r>
      <rPr>
        <sz val="14"/>
        <rFont val="Calibri"/>
        <family val="2"/>
      </rPr>
      <t>Unidade Básica de Saúde Fluvial (UBSF)</t>
    </r>
  </si>
  <si>
    <r>
      <t xml:space="preserve">ACS - </t>
    </r>
    <r>
      <rPr>
        <sz val="14"/>
        <rFont val="Calibri"/>
        <family val="2"/>
      </rPr>
      <t>Agentes Comunitário de Saúde</t>
    </r>
  </si>
  <si>
    <r>
      <t xml:space="preserve">ESB - </t>
    </r>
    <r>
      <rPr>
        <sz val="14"/>
        <rFont val="Calibri"/>
        <family val="2"/>
      </rPr>
      <t>Equipes de Saúde Bucal</t>
    </r>
  </si>
  <si>
    <r>
      <t xml:space="preserve">ESF - </t>
    </r>
    <r>
      <rPr>
        <sz val="14"/>
        <rFont val="Calibri"/>
        <family val="2"/>
      </rPr>
      <t>Equipes de Saúde da Família</t>
    </r>
  </si>
  <si>
    <r>
      <t xml:space="preserve">EAP - </t>
    </r>
    <r>
      <rPr>
        <sz val="14"/>
        <rFont val="Calibri"/>
        <family val="2"/>
      </rPr>
      <t>Equipe de Atenção Primária</t>
    </r>
  </si>
  <si>
    <r>
      <t xml:space="preserve">UOM - </t>
    </r>
    <r>
      <rPr>
        <sz val="14"/>
        <rFont val="Calibri"/>
        <family val="2"/>
      </rPr>
      <t>Unidade Móvel Odontológica</t>
    </r>
  </si>
  <si>
    <r>
      <t xml:space="preserve">Prisional - </t>
    </r>
    <r>
      <rPr>
        <sz val="14"/>
        <rFont val="Calibri"/>
        <family val="2"/>
      </rPr>
      <t>Equipe de Atenção Básica prisional</t>
    </r>
  </si>
  <si>
    <r>
      <t xml:space="preserve">Adolescente - </t>
    </r>
    <r>
      <rPr>
        <sz val="14"/>
        <rFont val="Calibri"/>
        <family val="2"/>
      </rPr>
      <t>Saúde do Adolescente</t>
    </r>
  </si>
  <si>
    <r>
      <t xml:space="preserve">USF - </t>
    </r>
    <r>
      <rPr>
        <sz val="14"/>
        <rFont val="Calibri"/>
        <family val="2"/>
      </rPr>
      <t>Unidade de Saúde da Família</t>
    </r>
  </si>
  <si>
    <r>
      <t xml:space="preserve">CEO - </t>
    </r>
    <r>
      <rPr>
        <sz val="14"/>
        <rFont val="Calibri"/>
        <family val="2"/>
      </rPr>
      <t>Centro de Especialidades Odontológicas</t>
    </r>
  </si>
  <si>
    <r>
      <t xml:space="preserve">LRPD - </t>
    </r>
    <r>
      <rPr>
        <sz val="14"/>
        <rFont val="Calibri"/>
        <family val="2"/>
      </rPr>
      <t>Laboratório Regional de Prótese Dentária (LRPD)</t>
    </r>
  </si>
  <si>
    <r>
      <rPr>
        <sz val="14"/>
        <rFont val="Calibri"/>
        <family val="2"/>
      </rPr>
      <t>ESFR - Equipes de Saúde da Família Ribeirinha</t>
    </r>
  </si>
  <si>
    <t>Custo por eSB (média anual)</t>
  </si>
  <si>
    <t>Valor por ACS (média) + IFP 5%</t>
  </si>
  <si>
    <t>IFP - Incentivo Financeiro para fortalecimento da Política de atuaçõa de ACS</t>
  </si>
  <si>
    <t>Dados e-Gestor AB</t>
  </si>
  <si>
    <t>Extra anual (Atividade Física) Média</t>
  </si>
  <si>
    <t>Estabelecimentos</t>
  </si>
  <si>
    <t>Extra anual (Atividade Física) Anual</t>
  </si>
  <si>
    <t>Ações Estrat. (Saúde na hora SNH)</t>
  </si>
  <si>
    <t>eCR: Consultório de Rua</t>
  </si>
  <si>
    <t>UBSF: UBS Fluvial</t>
  </si>
  <si>
    <t>eSF Fibeirinha</t>
  </si>
  <si>
    <t>Valor por equipe eMulti (média)</t>
  </si>
  <si>
    <t>Total eMulti (média)</t>
  </si>
  <si>
    <t xml:space="preserve">Total eMulti anual </t>
  </si>
  <si>
    <t>Município: (2025)</t>
  </si>
  <si>
    <t>Total eSF (anual)</t>
  </si>
  <si>
    <t>Total eSB (anual)</t>
  </si>
  <si>
    <t>Total ACS (anual)</t>
  </si>
  <si>
    <t>Quantidade eSB (média anual)</t>
  </si>
  <si>
    <t>Quantidade eMulti (média anual)</t>
  </si>
  <si>
    <t>Custo por eMulti (média anual)</t>
  </si>
  <si>
    <t>Quantidade ACS (média anual)</t>
  </si>
  <si>
    <t>Custo por ACS (média anual)</t>
  </si>
  <si>
    <t>Orçamento anual APS (eSF, sSB, eMulti, ACS):</t>
  </si>
  <si>
    <t>Orçamento anual APS (total):</t>
  </si>
  <si>
    <r>
      <rPr>
        <i/>
        <sz val="11"/>
        <color theme="1"/>
        <rFont val="Aptos Narrow"/>
        <family val="2"/>
      </rPr>
      <t xml:space="preserve">Maximo </t>
    </r>
    <r>
      <rPr>
        <sz val="11"/>
        <color theme="1"/>
        <rFont val="Aptos Narrow"/>
        <family val="2"/>
      </rPr>
      <t>eSF (média anual)</t>
    </r>
  </si>
  <si>
    <r>
      <rPr>
        <i/>
        <sz val="11"/>
        <color theme="1"/>
        <rFont val="Aptos Narrow"/>
        <family val="2"/>
      </rPr>
      <t xml:space="preserve">Máximo </t>
    </r>
    <r>
      <rPr>
        <sz val="11"/>
        <color theme="1"/>
        <rFont val="Aptos Narrow"/>
        <family val="2"/>
        <charset val="1"/>
      </rPr>
      <t>eSB (média anual)</t>
    </r>
  </si>
  <si>
    <r>
      <rPr>
        <i/>
        <sz val="11"/>
        <color theme="1"/>
        <rFont val="Aptos Narrow"/>
        <family val="2"/>
      </rPr>
      <t xml:space="preserve">Máximo </t>
    </r>
    <r>
      <rPr>
        <sz val="11"/>
        <color theme="1"/>
        <rFont val="Aptos Narrow"/>
        <family val="2"/>
        <charset val="1"/>
      </rPr>
      <t>eMulti (média anual)</t>
    </r>
  </si>
  <si>
    <r>
      <rPr>
        <i/>
        <sz val="11"/>
        <color theme="1"/>
        <rFont val="Aptos Narrow"/>
        <family val="2"/>
      </rPr>
      <t xml:space="preserve">Máximo </t>
    </r>
    <r>
      <rPr>
        <sz val="11"/>
        <color theme="1"/>
        <rFont val="Aptos Narrow"/>
        <family val="2"/>
        <charset val="1"/>
      </rPr>
      <t>ACS (média anual)</t>
    </r>
  </si>
  <si>
    <r>
      <rPr>
        <i/>
        <sz val="11"/>
        <color theme="1"/>
        <rFont val="Aptos Narrow"/>
        <family val="2"/>
      </rPr>
      <t xml:space="preserve">Máximo </t>
    </r>
    <r>
      <rPr>
        <sz val="11"/>
        <color theme="1"/>
        <rFont val="Aptos Narrow"/>
        <family val="2"/>
        <charset val="1"/>
      </rPr>
      <t>de Equipes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</si>
</sst>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_-* #,##0.00_-;\-* #,##0.00_-;_-* \-??_-;_-@_-"/>
  </numFmts>
  <fonts count="16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i/>
      <sz val="11"/>
      <name val="Consolas"/>
      <family val="3"/>
      <charset val="1"/>
    </font>
    <font>
      <u/>
      <sz val="11"/>
      <color theme="10"/>
      <name val="Aptos Narrow"/>
      <family val="2"/>
      <charset val="1"/>
    </font>
    <font>
      <sz val="10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8"/>
      <name val="Aptos Narrow"/>
      <family val="2"/>
      <charset val="1"/>
    </font>
    <font>
      <sz val="11"/>
      <color theme="1"/>
      <name val="Calibri"/>
      <family val="2"/>
    </font>
    <font>
      <sz val="11"/>
      <name val="Aptos Narrow"/>
      <family val="2"/>
      <charset val="1"/>
    </font>
    <font>
      <sz val="14"/>
      <name val="Calibri"/>
      <family val="2"/>
    </font>
    <font>
      <b/>
      <sz val="11"/>
      <name val="Aptos Narrow"/>
      <family val="2"/>
    </font>
    <font>
      <sz val="9"/>
      <color indexed="81"/>
      <name val="Tahoma"/>
      <family val="2"/>
    </font>
    <font>
      <i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Border="0" applyProtection="0"/>
    <xf numFmtId="164" fontId="1" fillId="0" borderId="0" applyBorder="0" applyProtection="0"/>
    <xf numFmtId="9" fontId="1" fillId="0" borderId="0" applyBorder="0" applyProtection="0"/>
    <xf numFmtId="0" fontId="5" fillId="0" borderId="0" applyBorder="0" applyProtection="0"/>
    <xf numFmtId="0" fontId="1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9" fontId="0" fillId="0" borderId="0" xfId="3" applyFont="1" applyBorder="1" applyProtection="1"/>
    <xf numFmtId="164" fontId="0" fillId="0" borderId="0" xfId="2" applyFont="1" applyBorder="1" applyProtection="1"/>
    <xf numFmtId="0" fontId="3" fillId="0" borderId="1" xfId="0" applyFont="1" applyBorder="1"/>
    <xf numFmtId="164" fontId="0" fillId="0" borderId="1" xfId="2" applyFont="1" applyBorder="1" applyProtection="1"/>
    <xf numFmtId="0" fontId="0" fillId="0" borderId="1" xfId="0" applyBorder="1"/>
    <xf numFmtId="0" fontId="2" fillId="0" borderId="0" xfId="0" applyFont="1"/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4" applyBorder="1" applyProtection="1"/>
    <xf numFmtId="2" fontId="0" fillId="0" borderId="0" xfId="1" applyNumberFormat="1" applyFont="1" applyBorder="1" applyAlignment="1" applyProtection="1">
      <alignment vertical="center"/>
    </xf>
    <xf numFmtId="2" fontId="0" fillId="0" borderId="0" xfId="0" applyNumberFormat="1"/>
    <xf numFmtId="2" fontId="3" fillId="0" borderId="0" xfId="0" applyNumberFormat="1" applyFont="1"/>
    <xf numFmtId="0" fontId="0" fillId="0" borderId="2" xfId="0" applyBorder="1"/>
    <xf numFmtId="164" fontId="1" fillId="2" borderId="2" xfId="2" applyFill="1" applyBorder="1"/>
    <xf numFmtId="0" fontId="0" fillId="0" borderId="0" xfId="0" applyBorder="1"/>
    <xf numFmtId="0" fontId="8" fillId="0" borderId="2" xfId="0" applyFont="1" applyBorder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164" fontId="7" fillId="0" borderId="0" xfId="2" applyFont="1"/>
    <xf numFmtId="164" fontId="0" fillId="0" borderId="2" xfId="0" applyNumberFormat="1" applyBorder="1"/>
    <xf numFmtId="1" fontId="0" fillId="0" borderId="0" xfId="0" applyNumberFormat="1"/>
    <xf numFmtId="0" fontId="11" fillId="0" borderId="0" xfId="0" applyFont="1"/>
    <xf numFmtId="0" fontId="13" fillId="0" borderId="0" xfId="0" applyFont="1"/>
    <xf numFmtId="164" fontId="7" fillId="2" borderId="0" xfId="2" applyFont="1" applyFill="1"/>
    <xf numFmtId="164" fontId="7" fillId="0" borderId="0" xfId="2" applyFont="1" applyFill="1"/>
    <xf numFmtId="164" fontId="8" fillId="0" borderId="0" xfId="2" applyFont="1"/>
    <xf numFmtId="1" fontId="0" fillId="0" borderId="2" xfId="0" applyNumberFormat="1" applyBorder="1"/>
    <xf numFmtId="164" fontId="1" fillId="0" borderId="2" xfId="2" applyBorder="1"/>
    <xf numFmtId="0" fontId="8" fillId="0" borderId="0" xfId="0" applyFont="1"/>
    <xf numFmtId="1" fontId="0" fillId="0" borderId="0" xfId="0" applyNumberFormat="1" applyBorder="1"/>
  </cellXfs>
  <cellStyles count="6">
    <cellStyle name="Comma" xfId="1" builtinId="3"/>
    <cellStyle name="Currency" xfId="2" builtinId="4"/>
    <cellStyle name="Hyperlink" xfId="4" builtinId="8"/>
    <cellStyle name="Normal" xfId="0" builtinId="0"/>
    <cellStyle name="Normal 2" xfId="5" xr:uid="{D57EF025-DBDD-46D1-9AD8-8BC408117305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microsoft.com/office/2017/10/relationships/person" Target="persons/perso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modelo-aps\aps\data\pagamento-19-12-2025-Lagoa-Santa.xlsx" TargetMode="External"/><Relationship Id="rId1" Type="http://schemas.openxmlformats.org/officeDocument/2006/relationships/externalLinkPath" Target="pagamento-19-12-2025-Lagoa-San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modelo-aps\aps\data\pagamento-19-12-2025-Belo-Horizonte.xlsx" TargetMode="External"/><Relationship Id="rId1" Type="http://schemas.openxmlformats.org/officeDocument/2006/relationships/externalLinkPath" Target="pagamento-19-12-2025-Belo-Horizont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modelo-aps\aps\data\pagamento-19-12-2025-Contagem.xlsx" TargetMode="External"/><Relationship Id="rId1" Type="http://schemas.openxmlformats.org/officeDocument/2006/relationships/externalLinkPath" Target="pagamento-19-12-2025-Contagem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modelo-aps\aps\data\pagamento-19-12-2025-Divin&#243;polis.xlsx" TargetMode="External"/><Relationship Id="rId1" Type="http://schemas.openxmlformats.org/officeDocument/2006/relationships/externalLinkPath" Target="pagamento-19-12-2025-Divin&#243;poli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modelo-aps\aps\data\pagamento-19-12-2025-Montes-Claros.xlsx" TargetMode="External"/><Relationship Id="rId1" Type="http://schemas.openxmlformats.org/officeDocument/2006/relationships/externalLinkPath" Target="pagamento-19-12-2025-Montes-Clar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eSF"/>
      <sheetName val="eAP"/>
      <sheetName val="eMulti"/>
      <sheetName val="eSB"/>
      <sheetName val="UOM"/>
      <sheetName val="CEO"/>
      <sheetName val="LRPD"/>
      <sheetName val="SESB"/>
      <sheetName val="eCR"/>
      <sheetName val="eSFR"/>
      <sheetName val="ACS"/>
      <sheetName val="ACS_Ind"/>
      <sheetName val="UBSF"/>
      <sheetName val="Microscopista"/>
      <sheetName val="Residência"/>
      <sheetName val="eAPP"/>
      <sheetName val="PNAISARI"/>
      <sheetName val="IAF"/>
      <sheetName val="PSE"/>
      <sheetName val="Academia da Saúde"/>
      <sheetName val="Inc. Transição"/>
      <sheetName val="Inc. Financ. Crit. Populacional"/>
      <sheetName val="Manut. Pagamento"/>
    </sheetNames>
    <sheetDataSet>
      <sheetData sheetId="0">
        <row r="2">
          <cell r="H2">
            <v>600000</v>
          </cell>
        </row>
        <row r="3">
          <cell r="H3">
            <v>600000</v>
          </cell>
        </row>
        <row r="4">
          <cell r="H4">
            <v>600000</v>
          </cell>
        </row>
        <row r="5">
          <cell r="H5">
            <v>600000</v>
          </cell>
        </row>
        <row r="6">
          <cell r="H6">
            <v>600000</v>
          </cell>
        </row>
        <row r="7">
          <cell r="H7">
            <v>600000</v>
          </cell>
        </row>
        <row r="8">
          <cell r="H8">
            <v>600000</v>
          </cell>
        </row>
        <row r="9">
          <cell r="H9">
            <v>600000</v>
          </cell>
        </row>
        <row r="10">
          <cell r="H10">
            <v>600000</v>
          </cell>
        </row>
        <row r="11">
          <cell r="H11">
            <v>600000</v>
          </cell>
        </row>
        <row r="12">
          <cell r="H12">
            <v>600000</v>
          </cell>
        </row>
        <row r="13">
          <cell r="H13">
            <v>600000</v>
          </cell>
        </row>
        <row r="14">
          <cell r="H14">
            <v>161038.94</v>
          </cell>
        </row>
        <row r="15">
          <cell r="H15">
            <v>161038.94</v>
          </cell>
        </row>
        <row r="16">
          <cell r="H16">
            <v>161038.94</v>
          </cell>
        </row>
        <row r="17">
          <cell r="H17">
            <v>164702.44</v>
          </cell>
        </row>
        <row r="18">
          <cell r="H18">
            <v>158851.69</v>
          </cell>
        </row>
        <row r="19">
          <cell r="H19">
            <v>162515.19</v>
          </cell>
        </row>
        <row r="20">
          <cell r="H20">
            <v>162515.19</v>
          </cell>
        </row>
        <row r="21">
          <cell r="H21">
            <v>161038.94</v>
          </cell>
        </row>
        <row r="22">
          <cell r="H22">
            <v>149337.44</v>
          </cell>
        </row>
        <row r="23">
          <cell r="H23">
            <v>149337.44</v>
          </cell>
        </row>
        <row r="24">
          <cell r="H24">
            <v>149337.44</v>
          </cell>
        </row>
        <row r="25">
          <cell r="H25">
            <v>153711.94</v>
          </cell>
        </row>
        <row r="26">
          <cell r="H26">
            <v>62000</v>
          </cell>
        </row>
        <row r="27">
          <cell r="H27">
            <v>76250</v>
          </cell>
        </row>
        <row r="28">
          <cell r="H28">
            <v>71250</v>
          </cell>
        </row>
        <row r="29">
          <cell r="H29">
            <v>71250</v>
          </cell>
        </row>
        <row r="30">
          <cell r="H30">
            <v>71250</v>
          </cell>
        </row>
        <row r="31">
          <cell r="H31">
            <v>133250</v>
          </cell>
        </row>
        <row r="32">
          <cell r="H32">
            <v>133250</v>
          </cell>
        </row>
        <row r="33">
          <cell r="H33">
            <v>140750</v>
          </cell>
        </row>
        <row r="34">
          <cell r="H34">
            <v>124000</v>
          </cell>
        </row>
        <row r="35">
          <cell r="H35">
            <v>135750</v>
          </cell>
        </row>
        <row r="36">
          <cell r="H36">
            <v>135750</v>
          </cell>
        </row>
        <row r="37">
          <cell r="H37">
            <v>135750</v>
          </cell>
        </row>
        <row r="38">
          <cell r="H38">
            <v>425040</v>
          </cell>
        </row>
        <row r="39">
          <cell r="H39">
            <v>425040</v>
          </cell>
        </row>
        <row r="40">
          <cell r="H40">
            <v>425040</v>
          </cell>
        </row>
        <row r="41">
          <cell r="H41">
            <v>418968</v>
          </cell>
        </row>
        <row r="42">
          <cell r="H42">
            <v>415932</v>
          </cell>
        </row>
        <row r="43">
          <cell r="H43">
            <v>415932</v>
          </cell>
        </row>
        <row r="44">
          <cell r="H44">
            <v>406824</v>
          </cell>
        </row>
        <row r="45">
          <cell r="H45">
            <v>431112</v>
          </cell>
        </row>
        <row r="46">
          <cell r="H46">
            <v>425040</v>
          </cell>
        </row>
        <row r="47">
          <cell r="H47">
            <v>431112</v>
          </cell>
        </row>
        <row r="48">
          <cell r="H48">
            <v>431112</v>
          </cell>
        </row>
        <row r="49">
          <cell r="H49">
            <v>428076</v>
          </cell>
        </row>
        <row r="50">
          <cell r="H50">
            <v>31550</v>
          </cell>
        </row>
        <row r="51">
          <cell r="H51">
            <v>31550</v>
          </cell>
        </row>
        <row r="52">
          <cell r="H52">
            <v>31550</v>
          </cell>
        </row>
        <row r="53">
          <cell r="H53">
            <v>31550</v>
          </cell>
        </row>
        <row r="54">
          <cell r="H54">
            <v>31550</v>
          </cell>
        </row>
        <row r="55">
          <cell r="H55">
            <v>31550</v>
          </cell>
        </row>
        <row r="56">
          <cell r="H56">
            <v>30000</v>
          </cell>
        </row>
        <row r="57">
          <cell r="H57">
            <v>31550</v>
          </cell>
        </row>
        <row r="58">
          <cell r="H58">
            <v>37050</v>
          </cell>
        </row>
        <row r="59">
          <cell r="H59">
            <v>1550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34500</v>
          </cell>
        </row>
        <row r="63">
          <cell r="H63">
            <v>34500</v>
          </cell>
        </row>
        <row r="64">
          <cell r="H64">
            <v>34500</v>
          </cell>
        </row>
        <row r="65">
          <cell r="H65">
            <v>39657.25</v>
          </cell>
        </row>
        <row r="66">
          <cell r="H66">
            <v>39657.25</v>
          </cell>
        </row>
        <row r="67">
          <cell r="H67">
            <v>39657.25</v>
          </cell>
        </row>
        <row r="68">
          <cell r="H68">
            <v>39657.25</v>
          </cell>
        </row>
        <row r="69">
          <cell r="H69">
            <v>39657.25</v>
          </cell>
        </row>
        <row r="70">
          <cell r="H70">
            <v>39657.25</v>
          </cell>
        </row>
        <row r="71">
          <cell r="H71">
            <v>39657.25</v>
          </cell>
        </row>
        <row r="72">
          <cell r="H72">
            <v>39657.25</v>
          </cell>
        </row>
        <row r="73">
          <cell r="H73">
            <v>39657.25</v>
          </cell>
        </row>
        <row r="74">
          <cell r="H74">
            <v>39657.25</v>
          </cell>
        </row>
        <row r="75">
          <cell r="H75">
            <v>39657.25</v>
          </cell>
        </row>
        <row r="76">
          <cell r="H76">
            <v>39657.25</v>
          </cell>
        </row>
        <row r="77">
          <cell r="H77">
            <v>0</v>
          </cell>
        </row>
        <row r="78">
          <cell r="H7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eSF"/>
      <sheetName val="eAP"/>
      <sheetName val="eMulti"/>
      <sheetName val="eSB"/>
      <sheetName val="UOM"/>
      <sheetName val="CEO"/>
      <sheetName val="LRPD"/>
      <sheetName val="SESB"/>
      <sheetName val="eCR"/>
      <sheetName val="eSFR"/>
      <sheetName val="ACS"/>
      <sheetName val="ACS_Ind"/>
      <sheetName val="UBSF"/>
      <sheetName val="Microscopista"/>
      <sheetName val="Residência"/>
      <sheetName val="eAPP"/>
      <sheetName val="PNAISARI"/>
      <sheetName val="IAF"/>
      <sheetName val="PSE"/>
      <sheetName val="Academia da Saúde"/>
      <sheetName val="Inc. Transição"/>
      <sheetName val="Inc. Financ. Crit. Populacional"/>
      <sheetName val="Manut. Pagamento"/>
    </sheetNames>
    <sheetDataSet>
      <sheetData sheetId="0">
        <row r="2">
          <cell r="H2">
            <v>14268000</v>
          </cell>
        </row>
        <row r="3">
          <cell r="H3">
            <v>14304000</v>
          </cell>
        </row>
        <row r="4">
          <cell r="H4">
            <v>14244000</v>
          </cell>
        </row>
        <row r="5">
          <cell r="H5">
            <v>14196000</v>
          </cell>
        </row>
        <row r="6">
          <cell r="H6">
            <v>14244000</v>
          </cell>
        </row>
        <row r="7">
          <cell r="H7">
            <v>14289000</v>
          </cell>
        </row>
        <row r="8">
          <cell r="H8">
            <v>14295000</v>
          </cell>
        </row>
        <row r="9">
          <cell r="H9">
            <v>14304000</v>
          </cell>
        </row>
        <row r="10">
          <cell r="H10">
            <v>14286000</v>
          </cell>
        </row>
        <row r="11">
          <cell r="H11">
            <v>14286000</v>
          </cell>
        </row>
        <row r="12">
          <cell r="H12">
            <v>14304000</v>
          </cell>
        </row>
        <row r="13">
          <cell r="H13">
            <v>14244000</v>
          </cell>
        </row>
        <row r="14">
          <cell r="H14">
            <v>2662018.5</v>
          </cell>
        </row>
        <row r="15">
          <cell r="H15">
            <v>2673720</v>
          </cell>
        </row>
        <row r="16">
          <cell r="H16">
            <v>2685421.5</v>
          </cell>
        </row>
        <row r="17">
          <cell r="H17">
            <v>2668580.25</v>
          </cell>
        </row>
        <row r="18">
          <cell r="H18">
            <v>2684710.5</v>
          </cell>
        </row>
        <row r="19">
          <cell r="H19">
            <v>2529638.5</v>
          </cell>
        </row>
        <row r="20">
          <cell r="H20">
            <v>2524553</v>
          </cell>
        </row>
        <row r="21">
          <cell r="H21">
            <v>2534067.25</v>
          </cell>
        </row>
        <row r="22">
          <cell r="H22">
            <v>2654745.75</v>
          </cell>
        </row>
        <row r="23">
          <cell r="H23">
            <v>2636428.25</v>
          </cell>
        </row>
        <row r="24">
          <cell r="H24">
            <v>2637904.5</v>
          </cell>
        </row>
        <row r="25">
          <cell r="H25">
            <v>2595473</v>
          </cell>
        </row>
        <row r="26">
          <cell r="H26">
            <v>2180250</v>
          </cell>
        </row>
        <row r="27">
          <cell r="H27">
            <v>2194500</v>
          </cell>
        </row>
        <row r="28">
          <cell r="H28">
            <v>2208750</v>
          </cell>
        </row>
        <row r="29">
          <cell r="H29">
            <v>2223000</v>
          </cell>
        </row>
        <row r="30">
          <cell r="H30">
            <v>2223000</v>
          </cell>
        </row>
        <row r="31">
          <cell r="H31">
            <v>2223000</v>
          </cell>
        </row>
        <row r="32">
          <cell r="H32">
            <v>2223000</v>
          </cell>
        </row>
        <row r="33">
          <cell r="H33">
            <v>2423000</v>
          </cell>
        </row>
        <row r="34">
          <cell r="H34">
            <v>2399500</v>
          </cell>
        </row>
        <row r="35">
          <cell r="H35">
            <v>2251500</v>
          </cell>
        </row>
        <row r="36">
          <cell r="H36">
            <v>2180250</v>
          </cell>
        </row>
        <row r="37">
          <cell r="H37">
            <v>2180250</v>
          </cell>
        </row>
        <row r="38">
          <cell r="H38">
            <v>6852252</v>
          </cell>
        </row>
        <row r="39">
          <cell r="H39">
            <v>6852252</v>
          </cell>
        </row>
        <row r="40">
          <cell r="H40">
            <v>6815820</v>
          </cell>
        </row>
        <row r="41">
          <cell r="H41">
            <v>6803676</v>
          </cell>
        </row>
        <row r="42">
          <cell r="H42">
            <v>6755100</v>
          </cell>
        </row>
        <row r="43">
          <cell r="H43">
            <v>6770280</v>
          </cell>
        </row>
        <row r="44">
          <cell r="H44">
            <v>6278448</v>
          </cell>
        </row>
        <row r="45">
          <cell r="H45">
            <v>6727776</v>
          </cell>
        </row>
        <row r="46">
          <cell r="H46">
            <v>6724740</v>
          </cell>
        </row>
        <row r="47">
          <cell r="H47">
            <v>6694380</v>
          </cell>
        </row>
        <row r="48">
          <cell r="H48">
            <v>6657948</v>
          </cell>
        </row>
        <row r="49">
          <cell r="H49">
            <v>6633660</v>
          </cell>
        </row>
        <row r="50">
          <cell r="H50">
            <v>416009</v>
          </cell>
        </row>
        <row r="51">
          <cell r="H51">
            <v>404244.5</v>
          </cell>
        </row>
        <row r="52">
          <cell r="H52">
            <v>388944.5</v>
          </cell>
        </row>
        <row r="53">
          <cell r="H53">
            <v>373644.5</v>
          </cell>
        </row>
        <row r="54">
          <cell r="H54">
            <v>428426</v>
          </cell>
        </row>
        <row r="55">
          <cell r="H55">
            <v>486509</v>
          </cell>
        </row>
        <row r="56">
          <cell r="H56">
            <v>487117.5</v>
          </cell>
        </row>
        <row r="57">
          <cell r="H57">
            <v>463117.5</v>
          </cell>
        </row>
        <row r="58">
          <cell r="H58">
            <v>519567.5</v>
          </cell>
        </row>
        <row r="59">
          <cell r="H59">
            <v>389067.5</v>
          </cell>
        </row>
        <row r="60">
          <cell r="H60">
            <v>393317.5</v>
          </cell>
        </row>
        <row r="61">
          <cell r="H61">
            <v>400567.5</v>
          </cell>
        </row>
        <row r="62">
          <cell r="H62">
            <v>113000</v>
          </cell>
        </row>
        <row r="63">
          <cell r="H63">
            <v>117000</v>
          </cell>
        </row>
        <row r="64">
          <cell r="H64">
            <v>113000</v>
          </cell>
        </row>
        <row r="65">
          <cell r="H65">
            <v>2401165.7599999998</v>
          </cell>
        </row>
        <row r="66">
          <cell r="H66">
            <v>2401165.7599999998</v>
          </cell>
        </row>
        <row r="67">
          <cell r="H67">
            <v>2401165.7599999998</v>
          </cell>
        </row>
        <row r="68">
          <cell r="H68">
            <v>2401165.7599999998</v>
          </cell>
        </row>
        <row r="69">
          <cell r="H69">
            <v>2231877.96</v>
          </cell>
        </row>
        <row r="70">
          <cell r="H70">
            <v>2401166</v>
          </cell>
        </row>
        <row r="71">
          <cell r="H71">
            <v>2401166</v>
          </cell>
        </row>
        <row r="72">
          <cell r="H72">
            <v>2401166</v>
          </cell>
        </row>
        <row r="73">
          <cell r="H73">
            <v>2401166</v>
          </cell>
        </row>
        <row r="74">
          <cell r="H74">
            <v>2401166</v>
          </cell>
        </row>
        <row r="75">
          <cell r="H75">
            <v>2374216</v>
          </cell>
        </row>
        <row r="76">
          <cell r="H76">
            <v>1943016</v>
          </cell>
        </row>
        <row r="77">
          <cell r="H77">
            <v>1198101.42</v>
          </cell>
        </row>
        <row r="78">
          <cell r="H78">
            <v>1198101.42</v>
          </cell>
        </row>
        <row r="79">
          <cell r="H79">
            <v>1198101.42</v>
          </cell>
        </row>
        <row r="80">
          <cell r="H80">
            <v>1198101.42</v>
          </cell>
        </row>
        <row r="81">
          <cell r="H81">
            <v>1198101.42</v>
          </cell>
        </row>
        <row r="82">
          <cell r="H82">
            <v>1198101.42</v>
          </cell>
        </row>
        <row r="83">
          <cell r="H83">
            <v>1198101.42</v>
          </cell>
        </row>
        <row r="84">
          <cell r="H84">
            <v>1198101.42</v>
          </cell>
        </row>
        <row r="85">
          <cell r="H85">
            <v>1198101.42</v>
          </cell>
        </row>
        <row r="86">
          <cell r="H86">
            <v>1198101.42</v>
          </cell>
        </row>
        <row r="87">
          <cell r="H87">
            <v>1198101.42</v>
          </cell>
        </row>
        <row r="88">
          <cell r="H88">
            <v>1198101.42</v>
          </cell>
        </row>
        <row r="89">
          <cell r="H89">
            <v>1254805.9099999999</v>
          </cell>
        </row>
        <row r="90">
          <cell r="H90">
            <v>162000</v>
          </cell>
        </row>
        <row r="91">
          <cell r="H91">
            <v>162000</v>
          </cell>
        </row>
        <row r="92">
          <cell r="H92">
            <v>162000</v>
          </cell>
        </row>
        <row r="93">
          <cell r="H93">
            <v>162000</v>
          </cell>
        </row>
        <row r="94">
          <cell r="H94">
            <v>162000</v>
          </cell>
        </row>
        <row r="95">
          <cell r="H95">
            <v>162000</v>
          </cell>
        </row>
        <row r="96">
          <cell r="H96">
            <v>159000</v>
          </cell>
        </row>
        <row r="97">
          <cell r="H97">
            <v>159000</v>
          </cell>
        </row>
        <row r="98">
          <cell r="H98">
            <v>162000</v>
          </cell>
        </row>
        <row r="99">
          <cell r="H99">
            <v>162000</v>
          </cell>
        </row>
        <row r="100">
          <cell r="H100">
            <v>162000</v>
          </cell>
        </row>
        <row r="101">
          <cell r="H101">
            <v>162000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eSF"/>
      <sheetName val="eAP"/>
      <sheetName val="eMulti"/>
      <sheetName val="eSB"/>
      <sheetName val="UOM"/>
      <sheetName val="CEO"/>
      <sheetName val="LRPD"/>
      <sheetName val="SESB"/>
      <sheetName val="eCR"/>
      <sheetName val="eSFR"/>
      <sheetName val="ACS"/>
      <sheetName val="ACS_Ind"/>
      <sheetName val="UBSF"/>
      <sheetName val="Microscopista"/>
      <sheetName val="Residência"/>
      <sheetName val="eAPP"/>
      <sheetName val="PNAISARI"/>
      <sheetName val="IAF"/>
      <sheetName val="PSE"/>
      <sheetName val="Academia da Saúde"/>
      <sheetName val="Inc. Transição"/>
      <sheetName val="Inc. Financ. Crit. Populacional"/>
      <sheetName val="Manut. Pagamento"/>
    </sheetNames>
    <sheetDataSet>
      <sheetData sheetId="0">
        <row r="2">
          <cell r="H2">
            <v>4315800</v>
          </cell>
        </row>
        <row r="3">
          <cell r="H3">
            <v>4315800</v>
          </cell>
        </row>
        <row r="4">
          <cell r="H4">
            <v>4327800</v>
          </cell>
        </row>
        <row r="5">
          <cell r="H5">
            <v>4303800</v>
          </cell>
        </row>
        <row r="6">
          <cell r="H6">
            <v>4303800</v>
          </cell>
        </row>
        <row r="7">
          <cell r="H7">
            <v>4279800</v>
          </cell>
        </row>
        <row r="8">
          <cell r="H8">
            <v>4273800</v>
          </cell>
        </row>
        <row r="9">
          <cell r="H9">
            <v>4309800</v>
          </cell>
        </row>
        <row r="10">
          <cell r="H10">
            <v>4321800</v>
          </cell>
        </row>
        <row r="11">
          <cell r="H11">
            <v>4303800</v>
          </cell>
        </row>
        <row r="12">
          <cell r="H12">
            <v>4279800</v>
          </cell>
        </row>
        <row r="13">
          <cell r="H13">
            <v>3520500</v>
          </cell>
        </row>
        <row r="14">
          <cell r="H14">
            <v>454023.87</v>
          </cell>
        </row>
        <row r="15">
          <cell r="H15">
            <v>454023.87</v>
          </cell>
        </row>
        <row r="16">
          <cell r="H16">
            <v>454023.87</v>
          </cell>
        </row>
        <row r="17">
          <cell r="H17">
            <v>432808.12</v>
          </cell>
        </row>
        <row r="18">
          <cell r="H18">
            <v>415255.87</v>
          </cell>
        </row>
        <row r="19">
          <cell r="H19">
            <v>415255.87</v>
          </cell>
        </row>
        <row r="20">
          <cell r="H20">
            <v>411592.37</v>
          </cell>
        </row>
        <row r="21">
          <cell r="H21">
            <v>411592.37</v>
          </cell>
        </row>
        <row r="22">
          <cell r="H22">
            <v>440846.12</v>
          </cell>
        </row>
        <row r="23">
          <cell r="H23">
            <v>440846.12</v>
          </cell>
        </row>
        <row r="24">
          <cell r="H24">
            <v>464249.12</v>
          </cell>
        </row>
        <row r="25">
          <cell r="H25">
            <v>403734.62</v>
          </cell>
        </row>
        <row r="26">
          <cell r="H26">
            <v>514500</v>
          </cell>
        </row>
        <row r="27">
          <cell r="H27">
            <v>545500</v>
          </cell>
        </row>
        <row r="28">
          <cell r="H28">
            <v>540500</v>
          </cell>
        </row>
        <row r="29">
          <cell r="H29">
            <v>430000</v>
          </cell>
        </row>
        <row r="30">
          <cell r="H30">
            <v>427500</v>
          </cell>
        </row>
        <row r="31">
          <cell r="H31">
            <v>413250</v>
          </cell>
        </row>
        <row r="32">
          <cell r="H32">
            <v>470250</v>
          </cell>
        </row>
        <row r="33">
          <cell r="H33">
            <v>556500</v>
          </cell>
        </row>
        <row r="34">
          <cell r="H34">
            <v>547250</v>
          </cell>
        </row>
        <row r="35">
          <cell r="H35">
            <v>527250</v>
          </cell>
        </row>
        <row r="36">
          <cell r="H36">
            <v>558250</v>
          </cell>
        </row>
        <row r="37">
          <cell r="H37">
            <v>558250</v>
          </cell>
        </row>
        <row r="38">
          <cell r="H38">
            <v>1624260</v>
          </cell>
        </row>
        <row r="39">
          <cell r="H39">
            <v>1624260</v>
          </cell>
        </row>
        <row r="40">
          <cell r="H40">
            <v>1624260</v>
          </cell>
        </row>
        <row r="41">
          <cell r="H41">
            <v>1609080</v>
          </cell>
        </row>
        <row r="42">
          <cell r="H42">
            <v>1599972</v>
          </cell>
        </row>
        <row r="43">
          <cell r="H43">
            <v>1596936</v>
          </cell>
        </row>
        <row r="44">
          <cell r="H44">
            <v>1469424</v>
          </cell>
        </row>
        <row r="45">
          <cell r="H45">
            <v>1596936</v>
          </cell>
        </row>
        <row r="46">
          <cell r="H46">
            <v>1590864</v>
          </cell>
        </row>
        <row r="47">
          <cell r="H47">
            <v>1584792</v>
          </cell>
        </row>
        <row r="48">
          <cell r="H48">
            <v>1551396</v>
          </cell>
        </row>
        <row r="49">
          <cell r="H49">
            <v>1563540</v>
          </cell>
        </row>
        <row r="50">
          <cell r="H50">
            <v>25900</v>
          </cell>
        </row>
        <row r="51">
          <cell r="H51">
            <v>25900</v>
          </cell>
        </row>
        <row r="52">
          <cell r="H52">
            <v>24450</v>
          </cell>
        </row>
        <row r="53">
          <cell r="H53">
            <v>27450</v>
          </cell>
        </row>
        <row r="54">
          <cell r="H54">
            <v>29000</v>
          </cell>
        </row>
        <row r="55">
          <cell r="H55">
            <v>27500</v>
          </cell>
        </row>
        <row r="56">
          <cell r="H56">
            <v>27500</v>
          </cell>
        </row>
        <row r="57">
          <cell r="H57">
            <v>29000</v>
          </cell>
        </row>
        <row r="58">
          <cell r="H58">
            <v>27600</v>
          </cell>
        </row>
        <row r="59">
          <cell r="H59">
            <v>27600</v>
          </cell>
        </row>
        <row r="60">
          <cell r="H60">
            <v>29100</v>
          </cell>
        </row>
        <row r="61">
          <cell r="H61">
            <v>27600</v>
          </cell>
        </row>
        <row r="62">
          <cell r="H62">
            <v>322279.27</v>
          </cell>
        </row>
        <row r="63">
          <cell r="H63">
            <v>322279.27</v>
          </cell>
        </row>
        <row r="64">
          <cell r="H64">
            <v>322279.27</v>
          </cell>
        </row>
        <row r="65">
          <cell r="H65">
            <v>322279.27</v>
          </cell>
        </row>
        <row r="66">
          <cell r="H66">
            <v>322279.27</v>
          </cell>
        </row>
        <row r="67">
          <cell r="H67">
            <v>322279.27</v>
          </cell>
        </row>
        <row r="68">
          <cell r="H68">
            <v>322279.27</v>
          </cell>
        </row>
        <row r="69">
          <cell r="H69">
            <v>322279.27</v>
          </cell>
        </row>
        <row r="70">
          <cell r="H70">
            <v>322279.27</v>
          </cell>
        </row>
        <row r="71">
          <cell r="H71">
            <v>322279.27</v>
          </cell>
        </row>
        <row r="72">
          <cell r="H72">
            <v>322279.27</v>
          </cell>
        </row>
        <row r="73">
          <cell r="H73">
            <v>322279.27</v>
          </cell>
        </row>
        <row r="74">
          <cell r="H74">
            <v>334116.8</v>
          </cell>
        </row>
        <row r="75">
          <cell r="H75">
            <v>0</v>
          </cell>
        </row>
        <row r="76">
          <cell r="H7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eSF"/>
      <sheetName val="eAP"/>
      <sheetName val="eMulti"/>
      <sheetName val="eSB"/>
      <sheetName val="UOM"/>
      <sheetName val="CEO"/>
      <sheetName val="LRPD"/>
      <sheetName val="SESB"/>
      <sheetName val="eCR"/>
      <sheetName val="eSFR"/>
      <sheetName val="ACS"/>
      <sheetName val="ACS_Ind"/>
      <sheetName val="UBSF"/>
      <sheetName val="Microscopista"/>
      <sheetName val="Residência"/>
      <sheetName val="eAPP"/>
      <sheetName val="PNAISARI"/>
      <sheetName val="IAF"/>
      <sheetName val="PSE"/>
      <sheetName val="Academia da Saúde"/>
      <sheetName val="Inc. Transição"/>
      <sheetName val="Inc. Financ. Crit. Populacional"/>
      <sheetName val="Manut. Pagamento"/>
    </sheetNames>
    <sheetDataSet>
      <sheetData sheetId="0">
        <row r="2">
          <cell r="H2">
            <v>1549200</v>
          </cell>
        </row>
        <row r="3">
          <cell r="H3">
            <v>1597200</v>
          </cell>
        </row>
        <row r="4">
          <cell r="H4">
            <v>1597200</v>
          </cell>
        </row>
        <row r="5">
          <cell r="H5">
            <v>1597200</v>
          </cell>
        </row>
        <row r="6">
          <cell r="H6">
            <v>1585200</v>
          </cell>
        </row>
        <row r="7">
          <cell r="H7">
            <v>1606500</v>
          </cell>
        </row>
        <row r="8">
          <cell r="H8">
            <v>1606500</v>
          </cell>
        </row>
        <row r="9">
          <cell r="H9">
            <v>1600500</v>
          </cell>
        </row>
        <row r="10">
          <cell r="H10">
            <v>1610400</v>
          </cell>
        </row>
        <row r="11">
          <cell r="H11">
            <v>1610400</v>
          </cell>
        </row>
        <row r="12">
          <cell r="H12">
            <v>1610400</v>
          </cell>
        </row>
        <row r="13">
          <cell r="H13">
            <v>1610400</v>
          </cell>
        </row>
        <row r="14">
          <cell r="H14">
            <v>311114.5</v>
          </cell>
        </row>
        <row r="15">
          <cell r="H15">
            <v>311114.5</v>
          </cell>
        </row>
        <row r="16">
          <cell r="H16">
            <v>311114.5</v>
          </cell>
        </row>
        <row r="17">
          <cell r="H17">
            <v>311114.5</v>
          </cell>
        </row>
        <row r="18">
          <cell r="H18">
            <v>311114.5</v>
          </cell>
        </row>
        <row r="19">
          <cell r="H19">
            <v>318792</v>
          </cell>
        </row>
        <row r="20">
          <cell r="H20">
            <v>312941.25</v>
          </cell>
        </row>
        <row r="21">
          <cell r="H21">
            <v>312941.25</v>
          </cell>
        </row>
        <row r="22">
          <cell r="H22">
            <v>305614.25</v>
          </cell>
        </row>
        <row r="23">
          <cell r="H23">
            <v>305614.25</v>
          </cell>
        </row>
        <row r="24">
          <cell r="H24">
            <v>305614.25</v>
          </cell>
        </row>
        <row r="25">
          <cell r="H25">
            <v>311465</v>
          </cell>
        </row>
        <row r="26">
          <cell r="H26">
            <v>171000</v>
          </cell>
        </row>
        <row r="27">
          <cell r="H27">
            <v>171000</v>
          </cell>
        </row>
        <row r="28">
          <cell r="H28">
            <v>185250</v>
          </cell>
        </row>
        <row r="29">
          <cell r="H29">
            <v>185250</v>
          </cell>
        </row>
        <row r="30">
          <cell r="H30">
            <v>171000</v>
          </cell>
        </row>
        <row r="31">
          <cell r="H31">
            <v>142500</v>
          </cell>
        </row>
        <row r="32">
          <cell r="H32">
            <v>142500</v>
          </cell>
        </row>
        <row r="33">
          <cell r="H33">
            <v>155000</v>
          </cell>
        </row>
        <row r="34">
          <cell r="H34">
            <v>155000</v>
          </cell>
        </row>
        <row r="35">
          <cell r="H35">
            <v>156750</v>
          </cell>
        </row>
        <row r="36">
          <cell r="H36">
            <v>156750</v>
          </cell>
        </row>
        <row r="37">
          <cell r="H37">
            <v>142500</v>
          </cell>
        </row>
        <row r="38">
          <cell r="H38">
            <v>725604</v>
          </cell>
        </row>
        <row r="39">
          <cell r="H39">
            <v>725604</v>
          </cell>
        </row>
        <row r="40">
          <cell r="H40">
            <v>722568</v>
          </cell>
        </row>
        <row r="41">
          <cell r="H41">
            <v>725604</v>
          </cell>
        </row>
        <row r="42">
          <cell r="H42">
            <v>725604</v>
          </cell>
        </row>
        <row r="43">
          <cell r="H43">
            <v>725604</v>
          </cell>
        </row>
        <row r="44">
          <cell r="H44">
            <v>710424</v>
          </cell>
        </row>
        <row r="45">
          <cell r="H45">
            <v>725604</v>
          </cell>
        </row>
        <row r="46">
          <cell r="H46">
            <v>719532</v>
          </cell>
        </row>
        <row r="47">
          <cell r="H47">
            <v>713460</v>
          </cell>
        </row>
        <row r="48">
          <cell r="H48">
            <v>707388</v>
          </cell>
        </row>
        <row r="49">
          <cell r="H49">
            <v>704352</v>
          </cell>
        </row>
        <row r="50">
          <cell r="H50">
            <v>67956</v>
          </cell>
        </row>
        <row r="51">
          <cell r="H51">
            <v>59400</v>
          </cell>
        </row>
        <row r="52">
          <cell r="H52">
            <v>67956</v>
          </cell>
        </row>
        <row r="53">
          <cell r="H53">
            <v>67956</v>
          </cell>
        </row>
        <row r="54">
          <cell r="H54">
            <v>41056</v>
          </cell>
        </row>
        <row r="55">
          <cell r="H55">
            <v>66956</v>
          </cell>
        </row>
        <row r="56">
          <cell r="H56">
            <v>66956</v>
          </cell>
        </row>
        <row r="57">
          <cell r="H57">
            <v>67956</v>
          </cell>
        </row>
        <row r="58">
          <cell r="H58">
            <v>78056</v>
          </cell>
        </row>
        <row r="59">
          <cell r="H59">
            <v>41556</v>
          </cell>
        </row>
        <row r="60">
          <cell r="H60">
            <v>41556</v>
          </cell>
        </row>
        <row r="61">
          <cell r="H61">
            <v>40556</v>
          </cell>
        </row>
        <row r="62">
          <cell r="H62">
            <v>35500</v>
          </cell>
        </row>
        <row r="63">
          <cell r="H63">
            <v>35500</v>
          </cell>
        </row>
        <row r="64">
          <cell r="H64">
            <v>34500</v>
          </cell>
        </row>
        <row r="65">
          <cell r="H65">
            <v>120154.3</v>
          </cell>
        </row>
        <row r="66">
          <cell r="H66">
            <v>120154.3</v>
          </cell>
        </row>
        <row r="67">
          <cell r="H67">
            <v>120154.3</v>
          </cell>
        </row>
        <row r="68">
          <cell r="H68">
            <v>120154.3</v>
          </cell>
        </row>
        <row r="69">
          <cell r="H69">
            <v>120154.3</v>
          </cell>
        </row>
        <row r="70">
          <cell r="H70">
            <v>120154.3</v>
          </cell>
        </row>
        <row r="71">
          <cell r="H71">
            <v>120154.3</v>
          </cell>
        </row>
        <row r="72">
          <cell r="H72">
            <v>120154.3</v>
          </cell>
        </row>
        <row r="73">
          <cell r="H73">
            <v>120154.3</v>
          </cell>
        </row>
        <row r="74">
          <cell r="H74">
            <v>120154.3</v>
          </cell>
        </row>
        <row r="75">
          <cell r="H75">
            <v>120154.3</v>
          </cell>
        </row>
        <row r="76">
          <cell r="H76">
            <v>120154.3</v>
          </cell>
        </row>
        <row r="77">
          <cell r="H77">
            <v>120242.06</v>
          </cell>
        </row>
        <row r="78">
          <cell r="H78">
            <v>0</v>
          </cell>
        </row>
        <row r="79">
          <cell r="H7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eSF"/>
      <sheetName val="eAP"/>
      <sheetName val="eMulti"/>
      <sheetName val="eSB"/>
      <sheetName val="UOM"/>
      <sheetName val="CEO"/>
      <sheetName val="LRPD"/>
      <sheetName val="SESB"/>
      <sheetName val="eCR"/>
      <sheetName val="eSFR"/>
      <sheetName val="ACS"/>
      <sheetName val="ACS_Ind"/>
      <sheetName val="UBSF"/>
      <sheetName val="Microscopista"/>
      <sheetName val="Residência"/>
      <sheetName val="eAPP"/>
      <sheetName val="PNAISARI"/>
      <sheetName val="IAF"/>
      <sheetName val="PSE"/>
      <sheetName val="Academia da Saúde"/>
      <sheetName val="Inc. Transição"/>
      <sheetName val="Inc. Financ. Crit. Populacional"/>
      <sheetName val="Manut. Pagamento"/>
    </sheetNames>
    <sheetDataSet>
      <sheetData sheetId="0">
        <row r="2">
          <cell r="H2">
            <v>3984000</v>
          </cell>
        </row>
        <row r="3">
          <cell r="H3">
            <v>3966000</v>
          </cell>
        </row>
        <row r="4">
          <cell r="H4">
            <v>3960000</v>
          </cell>
        </row>
        <row r="5">
          <cell r="H5">
            <v>3960000</v>
          </cell>
        </row>
        <row r="6">
          <cell r="H6">
            <v>3966000</v>
          </cell>
        </row>
        <row r="7">
          <cell r="H7">
            <v>3978000</v>
          </cell>
        </row>
        <row r="8">
          <cell r="H8">
            <v>3993000</v>
          </cell>
        </row>
        <row r="9">
          <cell r="H9">
            <v>3993000</v>
          </cell>
        </row>
        <row r="10">
          <cell r="H10">
            <v>4008000</v>
          </cell>
        </row>
        <row r="11">
          <cell r="H11">
            <v>4008000</v>
          </cell>
        </row>
        <row r="12">
          <cell r="H12">
            <v>4056000</v>
          </cell>
        </row>
        <row r="13">
          <cell r="H13">
            <v>4056000</v>
          </cell>
        </row>
        <row r="14">
          <cell r="H14">
            <v>963738.57</v>
          </cell>
        </row>
        <row r="15">
          <cell r="H15">
            <v>957887.82</v>
          </cell>
        </row>
        <row r="16">
          <cell r="H16">
            <v>963738.57</v>
          </cell>
        </row>
        <row r="17">
          <cell r="H17">
            <v>963738.57</v>
          </cell>
        </row>
        <row r="18">
          <cell r="H18">
            <v>960075.07</v>
          </cell>
        </row>
        <row r="19">
          <cell r="H19">
            <v>968113.07</v>
          </cell>
        </row>
        <row r="20">
          <cell r="H20">
            <v>968113.07</v>
          </cell>
        </row>
        <row r="21">
          <cell r="H21">
            <v>968113.07</v>
          </cell>
        </row>
        <row r="22">
          <cell r="H22">
            <v>968113.07</v>
          </cell>
        </row>
        <row r="23">
          <cell r="H23">
            <v>952748.07</v>
          </cell>
        </row>
        <row r="24">
          <cell r="H24">
            <v>967958.82</v>
          </cell>
        </row>
        <row r="25">
          <cell r="H25">
            <v>958598.82</v>
          </cell>
        </row>
        <row r="26">
          <cell r="H26">
            <v>470250</v>
          </cell>
        </row>
        <row r="27">
          <cell r="H27">
            <v>470250</v>
          </cell>
        </row>
        <row r="28">
          <cell r="H28">
            <v>470250</v>
          </cell>
        </row>
        <row r="29">
          <cell r="H29">
            <v>470250</v>
          </cell>
        </row>
        <row r="30">
          <cell r="H30">
            <v>456000</v>
          </cell>
        </row>
        <row r="31">
          <cell r="H31">
            <v>456000</v>
          </cell>
        </row>
        <row r="32">
          <cell r="H32">
            <v>456000</v>
          </cell>
        </row>
        <row r="33">
          <cell r="H33">
            <v>497750</v>
          </cell>
        </row>
        <row r="34">
          <cell r="H34">
            <v>497750</v>
          </cell>
        </row>
        <row r="35">
          <cell r="H35">
            <v>470250</v>
          </cell>
        </row>
        <row r="36">
          <cell r="H36">
            <v>470250</v>
          </cell>
        </row>
        <row r="37">
          <cell r="H37">
            <v>470250</v>
          </cell>
        </row>
        <row r="38">
          <cell r="H38">
            <v>2726328</v>
          </cell>
        </row>
        <row r="39">
          <cell r="H39">
            <v>2723292</v>
          </cell>
        </row>
        <row r="40">
          <cell r="H40">
            <v>2714184</v>
          </cell>
        </row>
        <row r="41">
          <cell r="H41">
            <v>2711148</v>
          </cell>
        </row>
        <row r="42">
          <cell r="H42">
            <v>2702040</v>
          </cell>
        </row>
        <row r="43">
          <cell r="H43">
            <v>2723292</v>
          </cell>
        </row>
        <row r="44">
          <cell r="H44">
            <v>2601852</v>
          </cell>
        </row>
        <row r="45">
          <cell r="H45">
            <v>2720256</v>
          </cell>
        </row>
        <row r="46">
          <cell r="H46">
            <v>2702040</v>
          </cell>
        </row>
        <row r="47">
          <cell r="H47">
            <v>2683824</v>
          </cell>
        </row>
        <row r="48">
          <cell r="H48">
            <v>2662572</v>
          </cell>
        </row>
        <row r="49">
          <cell r="H49">
            <v>2665608</v>
          </cell>
        </row>
        <row r="50">
          <cell r="H50">
            <v>465595</v>
          </cell>
        </row>
        <row r="51">
          <cell r="H51">
            <v>399900</v>
          </cell>
        </row>
        <row r="52">
          <cell r="H52">
            <v>418095</v>
          </cell>
        </row>
        <row r="53">
          <cell r="H53">
            <v>401095</v>
          </cell>
        </row>
        <row r="54">
          <cell r="H54">
            <v>335595</v>
          </cell>
        </row>
        <row r="55">
          <cell r="H55">
            <v>430095</v>
          </cell>
        </row>
        <row r="56">
          <cell r="H56">
            <v>410095</v>
          </cell>
        </row>
        <row r="57">
          <cell r="H57">
            <v>418645</v>
          </cell>
        </row>
        <row r="58">
          <cell r="H58">
            <v>429495</v>
          </cell>
        </row>
        <row r="59">
          <cell r="H59">
            <v>356745</v>
          </cell>
        </row>
        <row r="60">
          <cell r="H60">
            <v>351245</v>
          </cell>
        </row>
        <row r="61">
          <cell r="H61">
            <v>391745</v>
          </cell>
        </row>
        <row r="62">
          <cell r="H62">
            <v>151750</v>
          </cell>
        </row>
        <row r="63">
          <cell r="H63">
            <v>122000</v>
          </cell>
        </row>
        <row r="64">
          <cell r="H64">
            <v>122000</v>
          </cell>
        </row>
        <row r="65">
          <cell r="H65">
            <v>215350.83</v>
          </cell>
        </row>
        <row r="66">
          <cell r="H66">
            <v>215350.83</v>
          </cell>
        </row>
        <row r="67">
          <cell r="H67">
            <v>215350.83</v>
          </cell>
        </row>
        <row r="68">
          <cell r="H68">
            <v>215350.83</v>
          </cell>
        </row>
        <row r="69">
          <cell r="H69">
            <v>215350.83</v>
          </cell>
        </row>
        <row r="70">
          <cell r="H70">
            <v>215350.83</v>
          </cell>
        </row>
        <row r="71">
          <cell r="H71">
            <v>215350.83</v>
          </cell>
        </row>
        <row r="72">
          <cell r="H72">
            <v>215350.83</v>
          </cell>
        </row>
        <row r="73">
          <cell r="H73">
            <v>215350.83</v>
          </cell>
        </row>
        <row r="74">
          <cell r="H74">
            <v>215350.83</v>
          </cell>
        </row>
        <row r="75">
          <cell r="H75">
            <v>215350.83</v>
          </cell>
        </row>
        <row r="76">
          <cell r="H76">
            <v>215350.83</v>
          </cell>
        </row>
        <row r="77">
          <cell r="H77">
            <v>206999.51</v>
          </cell>
        </row>
        <row r="78">
          <cell r="H78">
            <v>6000</v>
          </cell>
        </row>
        <row r="79">
          <cell r="H79">
            <v>6000</v>
          </cell>
        </row>
        <row r="80">
          <cell r="H80">
            <v>6000</v>
          </cell>
        </row>
        <row r="81">
          <cell r="H81">
            <v>6000</v>
          </cell>
        </row>
        <row r="82">
          <cell r="H82">
            <v>6000</v>
          </cell>
        </row>
        <row r="83">
          <cell r="H83">
            <v>6000</v>
          </cell>
        </row>
        <row r="84">
          <cell r="H84">
            <v>21000</v>
          </cell>
        </row>
        <row r="85">
          <cell r="H85">
            <v>21000</v>
          </cell>
        </row>
        <row r="86">
          <cell r="H86">
            <v>21000</v>
          </cell>
        </row>
        <row r="87">
          <cell r="H87">
            <v>21000</v>
          </cell>
        </row>
        <row r="88">
          <cell r="H88">
            <v>21000</v>
          </cell>
        </row>
        <row r="89">
          <cell r="H89">
            <v>21000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ão Flávio de Freitas Almeida" id="{FA9C17BD-E472-48BD-9226-B89AAB5A6795}" userId="54a10a398cbb1578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5-12-19T11:39:07.61" personId="{FA9C17BD-E472-48BD-9226-B89AAB5A6795}" id="{45B8C082-E515-4602-A4DE-4D5D7F8B1A6C}">
    <text>Considerando férias e 13º (+1.3 salários) e reserva para ausências, maternidades (15%)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gov.br/saude/pt-br/assuntos/novo-pac-saude/unidades-basicas-de-saude/faq-ubs/analise-habilitacao-e-selecao-das-propostas/valores-para-construcao-de-nova-ubs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2B04-CEA1-4F68-8C7E-A93A664A85E3}">
  <dimension ref="B2:K188"/>
  <sheetViews>
    <sheetView tabSelected="1" zoomScale="130" zoomScaleNormal="130" workbookViewId="0">
      <selection activeCell="C19" sqref="C19"/>
    </sheetView>
  </sheetViews>
  <sheetFormatPr defaultColWidth="8.7109375" defaultRowHeight="15" x14ac:dyDescent="0.25"/>
  <cols>
    <col min="1" max="1" width="3.42578125" customWidth="1"/>
    <col min="2" max="2" width="39.7109375" customWidth="1"/>
    <col min="3" max="3" width="20.42578125" customWidth="1"/>
    <col min="4" max="4" width="34.85546875" customWidth="1"/>
    <col min="5" max="5" width="22.7109375" customWidth="1"/>
    <col min="6" max="6" width="19" customWidth="1"/>
    <col min="7" max="7" width="19.140625" customWidth="1"/>
    <col min="8" max="8" width="14.42578125" customWidth="1"/>
  </cols>
  <sheetData>
    <row r="2" spans="2:10" x14ac:dyDescent="0.25">
      <c r="B2" s="15" t="s">
        <v>135</v>
      </c>
      <c r="C2" s="15" t="s">
        <v>65</v>
      </c>
      <c r="D2" s="15" t="s">
        <v>66</v>
      </c>
      <c r="E2" s="15" t="s">
        <v>67</v>
      </c>
      <c r="F2" s="15" t="s">
        <v>68</v>
      </c>
      <c r="G2" s="15" t="s">
        <v>69</v>
      </c>
    </row>
    <row r="3" spans="2:10" x14ac:dyDescent="0.25">
      <c r="B3" s="15" t="s">
        <v>145</v>
      </c>
      <c r="C3" s="32">
        <f>SUM([1]Resumo!$H$2:$H$78)</f>
        <v>16333029.530000001</v>
      </c>
      <c r="D3" s="32">
        <f>SUM([2]Resumo!$H$2:$H$101)</f>
        <v>361450751.45000017</v>
      </c>
      <c r="E3" s="32">
        <f>SUM([3]Resumo!$H$2:$H$76)</f>
        <v>85709340.229999915</v>
      </c>
      <c r="F3" s="32">
        <f>SUM([4]Resumo!$H$2:$H$79)</f>
        <v>35851012.409999967</v>
      </c>
      <c r="G3" s="32">
        <f>SUM([5]Resumo!$H$2:$H$89)</f>
        <v>105637927.05999999</v>
      </c>
    </row>
    <row r="4" spans="2:10" x14ac:dyDescent="0.25">
      <c r="B4" s="15" t="s">
        <v>144</v>
      </c>
      <c r="C4" s="16">
        <f>C65+C71+C77+C83</f>
        <v>15464192.529999999</v>
      </c>
      <c r="D4" s="16">
        <f>D65+D71+D77+D83</f>
        <v>310227593</v>
      </c>
      <c r="E4" s="16">
        <f>E65+E71+E77+E83</f>
        <v>81179272.189999998</v>
      </c>
      <c r="F4" s="16">
        <f>F65+F71+F77+F83</f>
        <v>33475502.75</v>
      </c>
      <c r="G4" s="16">
        <f>G65+G71+G77+G83</f>
        <v>97480622.590000004</v>
      </c>
      <c r="I4" t="s">
        <v>70</v>
      </c>
      <c r="J4" t="s">
        <v>71</v>
      </c>
    </row>
    <row r="5" spans="2:10" x14ac:dyDescent="0.25">
      <c r="B5" s="15" t="s">
        <v>73</v>
      </c>
      <c r="C5" s="16">
        <f>Ian</f>
        <v>244402.66685178087</v>
      </c>
      <c r="D5" s="16">
        <f>Ian</f>
        <v>244402.66685178087</v>
      </c>
      <c r="E5" s="16">
        <f>Ian</f>
        <v>244402.66685178087</v>
      </c>
      <c r="F5" s="16">
        <f>Ian</f>
        <v>244402.66685178087</v>
      </c>
      <c r="G5" s="16">
        <f>Ian</f>
        <v>244402.66685178087</v>
      </c>
    </row>
    <row r="6" spans="2:10" x14ac:dyDescent="0.25">
      <c r="B6" s="18" t="s">
        <v>91</v>
      </c>
      <c r="C6" s="31">
        <f>C63</f>
        <v>25</v>
      </c>
      <c r="D6" s="31">
        <f>D63</f>
        <v>596</v>
      </c>
      <c r="E6" s="31">
        <f>E63</f>
        <v>176</v>
      </c>
      <c r="F6" s="31">
        <f>F63</f>
        <v>65</v>
      </c>
      <c r="G6" s="31">
        <f>G63</f>
        <v>167</v>
      </c>
      <c r="I6" t="s">
        <v>77</v>
      </c>
      <c r="J6" t="s">
        <v>78</v>
      </c>
    </row>
    <row r="7" spans="2:10" x14ac:dyDescent="0.25">
      <c r="B7" s="18" t="s">
        <v>146</v>
      </c>
      <c r="C7" s="31">
        <f>C64</f>
        <v>40</v>
      </c>
      <c r="D7" s="31">
        <f>D64</f>
        <v>1212</v>
      </c>
      <c r="E7" s="31">
        <f t="shared" ref="D7:G7" si="0">E64</f>
        <v>325</v>
      </c>
      <c r="F7" s="31">
        <f t="shared" si="0"/>
        <v>121</v>
      </c>
      <c r="G7" s="31">
        <f t="shared" si="0"/>
        <v>216</v>
      </c>
    </row>
    <row r="8" spans="2:10" x14ac:dyDescent="0.25">
      <c r="B8" s="15" t="s">
        <v>92</v>
      </c>
      <c r="C8" s="24">
        <f>C62</f>
        <v>288000</v>
      </c>
      <c r="D8" s="24">
        <f>D62</f>
        <v>287355.7046979866</v>
      </c>
      <c r="E8" s="24">
        <f>E62</f>
        <v>288956.25</v>
      </c>
      <c r="F8" s="24">
        <f>F62</f>
        <v>295093.84615384613</v>
      </c>
      <c r="G8" s="24">
        <f>G62</f>
        <v>286994.01197604788</v>
      </c>
      <c r="I8" t="s">
        <v>77</v>
      </c>
      <c r="J8" t="s">
        <v>78</v>
      </c>
    </row>
    <row r="9" spans="2:10" x14ac:dyDescent="0.25">
      <c r="B9" s="15" t="s">
        <v>139</v>
      </c>
      <c r="C9" s="31">
        <f>C69</f>
        <v>18</v>
      </c>
      <c r="D9" s="31">
        <f>D69</f>
        <v>311</v>
      </c>
      <c r="E9" s="31">
        <f>E69</f>
        <v>69</v>
      </c>
      <c r="F9" s="31">
        <f>F69</f>
        <v>50</v>
      </c>
      <c r="G9" s="31">
        <f>G69</f>
        <v>132</v>
      </c>
      <c r="I9" t="s">
        <v>77</v>
      </c>
      <c r="J9" t="s">
        <v>78</v>
      </c>
    </row>
    <row r="10" spans="2:10" x14ac:dyDescent="0.25">
      <c r="B10" s="18" t="s">
        <v>147</v>
      </c>
      <c r="C10" s="31">
        <f>C70</f>
        <v>25</v>
      </c>
      <c r="D10" s="31">
        <f>D70</f>
        <v>597</v>
      </c>
      <c r="E10" s="31">
        <f t="shared" ref="D10:G10" si="1">E70</f>
        <v>180</v>
      </c>
      <c r="F10" s="31">
        <f t="shared" si="1"/>
        <v>67</v>
      </c>
      <c r="G10" s="31">
        <f t="shared" si="1"/>
        <v>169</v>
      </c>
    </row>
    <row r="11" spans="2:10" x14ac:dyDescent="0.25">
      <c r="B11" s="15" t="s">
        <v>121</v>
      </c>
      <c r="C11" s="24">
        <f>C68</f>
        <v>105248.02944444442</v>
      </c>
      <c r="D11" s="24">
        <f>D68</f>
        <v>101245.21221864951</v>
      </c>
      <c r="E11" s="24">
        <f>E68</f>
        <v>75336.988260869577</v>
      </c>
      <c r="F11" s="24">
        <f>F68</f>
        <v>74571.095000000001</v>
      </c>
      <c r="G11" s="24">
        <f>G68</f>
        <v>87582.852954545466</v>
      </c>
      <c r="I11" t="s">
        <v>77</v>
      </c>
      <c r="J11" t="s">
        <v>78</v>
      </c>
    </row>
    <row r="12" spans="2:10" x14ac:dyDescent="0.25">
      <c r="B12" s="15" t="s">
        <v>140</v>
      </c>
      <c r="C12" s="15">
        <f>C75</f>
        <v>4</v>
      </c>
      <c r="D12" s="15">
        <f>D75</f>
        <v>81</v>
      </c>
      <c r="E12" s="15">
        <f>E75</f>
        <v>18</v>
      </c>
      <c r="F12" s="15">
        <f>F75</f>
        <v>5</v>
      </c>
      <c r="G12" s="15">
        <f>G75</f>
        <v>11</v>
      </c>
      <c r="I12" t="s">
        <v>77</v>
      </c>
      <c r="J12" t="s">
        <v>78</v>
      </c>
    </row>
    <row r="13" spans="2:10" x14ac:dyDescent="0.25">
      <c r="B13" s="18" t="s">
        <v>148</v>
      </c>
      <c r="C13" s="15">
        <f>C76</f>
        <v>5</v>
      </c>
      <c r="D13" s="15">
        <f>D76</f>
        <v>604</v>
      </c>
      <c r="E13" s="15">
        <f t="shared" ref="D13:G13" si="2">E76</f>
        <v>183</v>
      </c>
      <c r="F13" s="15">
        <f t="shared" si="2"/>
        <v>71</v>
      </c>
      <c r="G13" s="15">
        <f t="shared" si="2"/>
        <v>16</v>
      </c>
    </row>
    <row r="14" spans="2:10" x14ac:dyDescent="0.25">
      <c r="B14" s="15" t="s">
        <v>141</v>
      </c>
      <c r="C14" s="24">
        <f>C74</f>
        <v>322625</v>
      </c>
      <c r="D14" s="24">
        <f>D74</f>
        <v>332222.22222222225</v>
      </c>
      <c r="E14" s="24">
        <f>E74</f>
        <v>338277.77777777775</v>
      </c>
      <c r="F14" s="24">
        <f>F74</f>
        <v>386900</v>
      </c>
      <c r="G14" s="24">
        <f>G74</f>
        <v>514113.63636363635</v>
      </c>
      <c r="I14" t="s">
        <v>77</v>
      </c>
      <c r="J14" t="s">
        <v>78</v>
      </c>
    </row>
    <row r="15" spans="2:10" x14ac:dyDescent="0.25">
      <c r="B15" s="15" t="s">
        <v>142</v>
      </c>
      <c r="C15" s="31">
        <f>C81</f>
        <v>140</v>
      </c>
      <c r="D15" s="31">
        <f>D81</f>
        <v>2211</v>
      </c>
      <c r="E15" s="31">
        <f>E81</f>
        <v>522</v>
      </c>
      <c r="F15" s="31">
        <f>F81</f>
        <v>237</v>
      </c>
      <c r="G15" s="31">
        <f>G81</f>
        <v>887</v>
      </c>
    </row>
    <row r="16" spans="2:10" x14ac:dyDescent="0.25">
      <c r="B16" s="18" t="s">
        <v>149</v>
      </c>
      <c r="C16" s="31">
        <f>C82</f>
        <v>200</v>
      </c>
      <c r="D16" s="31">
        <f>D82</f>
        <v>6041</v>
      </c>
      <c r="E16" s="31">
        <f t="shared" ref="D16:G16" si="3">E82</f>
        <v>1625</v>
      </c>
      <c r="F16" s="31">
        <f t="shared" si="3"/>
        <v>606</v>
      </c>
      <c r="G16" s="31">
        <f t="shared" si="3"/>
        <v>1086</v>
      </c>
    </row>
    <row r="17" spans="2:11" x14ac:dyDescent="0.25">
      <c r="B17" s="15" t="s">
        <v>143</v>
      </c>
      <c r="C17" s="24">
        <f>C80</f>
        <v>36280.199999999997</v>
      </c>
      <c r="D17" s="24">
        <f>D80</f>
        <v>36438.86567164179</v>
      </c>
      <c r="E17" s="24">
        <f>E80</f>
        <v>36466.896551724138</v>
      </c>
      <c r="F17" s="24">
        <f>F80</f>
        <v>36419.189873417723</v>
      </c>
      <c r="G17" s="24">
        <f>G80</f>
        <v>36455.95941375423</v>
      </c>
    </row>
    <row r="18" spans="2:11" x14ac:dyDescent="0.25">
      <c r="B18" s="15"/>
      <c r="C18" s="15"/>
      <c r="D18" s="15"/>
      <c r="E18" s="15"/>
      <c r="F18" s="15"/>
      <c r="G18" s="15"/>
    </row>
    <row r="19" spans="2:11" x14ac:dyDescent="0.25">
      <c r="B19" s="15"/>
      <c r="C19" s="32"/>
      <c r="D19" s="15"/>
      <c r="E19" s="15"/>
      <c r="F19" s="15"/>
      <c r="G19" s="15"/>
    </row>
    <row r="20" spans="2:11" x14ac:dyDescent="0.25">
      <c r="B20" s="17"/>
      <c r="C20" s="17"/>
      <c r="D20" s="17"/>
      <c r="E20" s="17"/>
      <c r="F20" s="17"/>
      <c r="G20" s="17"/>
    </row>
    <row r="21" spans="2:11" x14ac:dyDescent="0.25">
      <c r="B21" s="1" t="s">
        <v>0</v>
      </c>
      <c r="C21" s="1"/>
      <c r="D21" s="1"/>
    </row>
    <row r="22" spans="2:11" x14ac:dyDescent="0.25">
      <c r="B22" s="2" t="s">
        <v>1</v>
      </c>
      <c r="C22" s="3">
        <v>0.04</v>
      </c>
      <c r="D22" t="s">
        <v>2</v>
      </c>
      <c r="G22" t="s">
        <v>72</v>
      </c>
    </row>
    <row r="23" spans="2:11" x14ac:dyDescent="0.25">
      <c r="B23" s="2" t="s">
        <v>3</v>
      </c>
      <c r="C23">
        <v>25</v>
      </c>
      <c r="D23" t="s">
        <v>4</v>
      </c>
      <c r="G23" t="s">
        <v>72</v>
      </c>
    </row>
    <row r="24" spans="2:11" x14ac:dyDescent="0.25">
      <c r="B24" s="2" t="s">
        <v>5</v>
      </c>
      <c r="C24" s="4">
        <f>E58</f>
        <v>3818078</v>
      </c>
      <c r="D24" t="s">
        <v>6</v>
      </c>
      <c r="G24" t="s">
        <v>74</v>
      </c>
    </row>
    <row r="25" spans="2:11" x14ac:dyDescent="0.25">
      <c r="B25" s="5" t="s">
        <v>7</v>
      </c>
      <c r="C25" s="6">
        <f>I_*(r_*(1+r_)^n_)/((1+r_)^n_-1)</f>
        <v>244402.66685178087</v>
      </c>
      <c r="D25" s="7" t="s">
        <v>8</v>
      </c>
    </row>
    <row r="26" spans="2:11" x14ac:dyDescent="0.25">
      <c r="B26" s="8" t="s">
        <v>9</v>
      </c>
    </row>
    <row r="27" spans="2:11" x14ac:dyDescent="0.25">
      <c r="B27" s="8"/>
    </row>
    <row r="28" spans="2:11" x14ac:dyDescent="0.25">
      <c r="B28" s="8"/>
      <c r="C28" s="2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J28" t="s">
        <v>75</v>
      </c>
      <c r="K28" t="s">
        <v>76</v>
      </c>
    </row>
    <row r="29" spans="2:11" x14ac:dyDescent="0.25">
      <c r="B29" s="8" t="s">
        <v>16</v>
      </c>
      <c r="C29" s="4">
        <f>SUM(D29:E29)*13.3+ SUM(F29:H29)*12</f>
        <v>1455500</v>
      </c>
      <c r="D29">
        <v>50000</v>
      </c>
      <c r="E29">
        <f>0.9*D29</f>
        <v>45000</v>
      </c>
      <c r="F29">
        <f>0.15*D29</f>
        <v>7500</v>
      </c>
      <c r="G29">
        <f>0.07*D29</f>
        <v>3500.0000000000005</v>
      </c>
      <c r="H29">
        <f>0.1*D29</f>
        <v>5000</v>
      </c>
    </row>
    <row r="30" spans="2:11" x14ac:dyDescent="0.25">
      <c r="B30" s="8" t="s">
        <v>17</v>
      </c>
      <c r="C30" s="4">
        <f>SUM(D30:E30)*13.3+ SUM(F30:H30)*12</f>
        <v>640420</v>
      </c>
      <c r="D30">
        <v>22000</v>
      </c>
      <c r="E30">
        <f>0.9*D30</f>
        <v>19800</v>
      </c>
      <c r="F30">
        <f>0.15*D30</f>
        <v>3300</v>
      </c>
      <c r="G30">
        <f>0.07*D30</f>
        <v>1540.0000000000002</v>
      </c>
      <c r="H30">
        <f>0.1*D30</f>
        <v>2200</v>
      </c>
    </row>
    <row r="31" spans="2:11" x14ac:dyDescent="0.25">
      <c r="B31" s="8" t="s">
        <v>18</v>
      </c>
      <c r="C31" s="4">
        <f>(1/9)*SUM(D31:E31)*13.3+ SUM(F31:H31)*12</f>
        <v>611595.5555555555</v>
      </c>
      <c r="D31">
        <v>92000</v>
      </c>
      <c r="E31">
        <f>0.9*D31</f>
        <v>82800</v>
      </c>
      <c r="F31">
        <f>0.15*D31</f>
        <v>13800</v>
      </c>
      <c r="G31">
        <f>0.07*D31</f>
        <v>6440.0000000000009</v>
      </c>
      <c r="H31">
        <f>0.1*D31</f>
        <v>9200</v>
      </c>
    </row>
    <row r="32" spans="2:11" x14ac:dyDescent="0.25">
      <c r="B32" s="8"/>
    </row>
    <row r="34" spans="2:7" x14ac:dyDescent="0.25">
      <c r="B34" t="s">
        <v>19</v>
      </c>
    </row>
    <row r="36" spans="2:7" x14ac:dyDescent="0.25">
      <c r="B36" t="s">
        <v>20</v>
      </c>
      <c r="C36" s="4">
        <f>Ian</f>
        <v>244402.66685178087</v>
      </c>
      <c r="D36" t="str">
        <f>D25</f>
        <v>Investimento anualizado da nova UBS</v>
      </c>
    </row>
    <row r="37" spans="2:7" x14ac:dyDescent="0.25">
      <c r="B37" t="s">
        <v>21</v>
      </c>
      <c r="C37" s="9">
        <f>SUM(C29:C31)</f>
        <v>2707515.5555555555</v>
      </c>
      <c r="D37" t="s">
        <v>22</v>
      </c>
    </row>
    <row r="39" spans="2:7" x14ac:dyDescent="0.25">
      <c r="B39" t="s">
        <v>23</v>
      </c>
      <c r="C39">
        <f>ROUND(SUM(F29:F31)/(3*3000),0)</f>
        <v>3</v>
      </c>
    </row>
    <row r="40" spans="2:7" x14ac:dyDescent="0.25">
      <c r="B40" t="s">
        <v>24</v>
      </c>
      <c r="C40" s="4">
        <v>100000</v>
      </c>
      <c r="D40" s="2" t="s">
        <v>10</v>
      </c>
      <c r="E40" s="10" t="s">
        <v>25</v>
      </c>
    </row>
    <row r="41" spans="2:7" x14ac:dyDescent="0.25">
      <c r="B41" t="s">
        <v>26</v>
      </c>
      <c r="C41" s="4">
        <v>80000</v>
      </c>
      <c r="D41" s="4">
        <v>120000</v>
      </c>
    </row>
    <row r="44" spans="2:7" ht="15" customHeight="1" x14ac:dyDescent="0.25">
      <c r="B44" s="19" t="s">
        <v>27</v>
      </c>
      <c r="C44" s="20" t="s">
        <v>28</v>
      </c>
      <c r="D44" s="20"/>
      <c r="E44" s="20"/>
      <c r="F44" s="20"/>
      <c r="G44" s="20"/>
    </row>
    <row r="45" spans="2:7" x14ac:dyDescent="0.25">
      <c r="B45" s="21"/>
      <c r="C45" s="19" t="s">
        <v>29</v>
      </c>
      <c r="D45" s="19" t="s">
        <v>30</v>
      </c>
      <c r="E45" s="19" t="s">
        <v>31</v>
      </c>
      <c r="F45" s="19" t="s">
        <v>32</v>
      </c>
      <c r="G45" s="19" t="s">
        <v>33</v>
      </c>
    </row>
    <row r="46" spans="2:7" x14ac:dyDescent="0.25">
      <c r="B46" s="19" t="s">
        <v>34</v>
      </c>
      <c r="C46" s="22" t="s">
        <v>35</v>
      </c>
      <c r="D46" s="22" t="s">
        <v>36</v>
      </c>
      <c r="E46" s="22" t="s">
        <v>37</v>
      </c>
      <c r="F46" s="22" t="s">
        <v>38</v>
      </c>
      <c r="G46" s="22" t="s">
        <v>39</v>
      </c>
    </row>
    <row r="47" spans="2:7" x14ac:dyDescent="0.25">
      <c r="B47" s="19" t="s">
        <v>40</v>
      </c>
      <c r="C47" s="22" t="s">
        <v>41</v>
      </c>
      <c r="D47" s="22" t="s">
        <v>42</v>
      </c>
      <c r="E47" s="22" t="s">
        <v>43</v>
      </c>
      <c r="F47" s="22" t="s">
        <v>44</v>
      </c>
      <c r="G47" s="22" t="s">
        <v>45</v>
      </c>
    </row>
    <row r="48" spans="2:7" x14ac:dyDescent="0.25">
      <c r="B48" s="19" t="s">
        <v>46</v>
      </c>
      <c r="C48" s="22" t="s">
        <v>47</v>
      </c>
      <c r="D48" s="22" t="s">
        <v>48</v>
      </c>
      <c r="E48" s="22" t="s">
        <v>49</v>
      </c>
      <c r="F48" s="22" t="s">
        <v>50</v>
      </c>
      <c r="G48" s="22" t="s">
        <v>51</v>
      </c>
    </row>
    <row r="49" spans="2:7" x14ac:dyDescent="0.25">
      <c r="B49" s="19" t="s">
        <v>52</v>
      </c>
      <c r="C49" s="22" t="s">
        <v>53</v>
      </c>
      <c r="D49" s="22" t="s">
        <v>54</v>
      </c>
      <c r="E49" s="22" t="s">
        <v>55</v>
      </c>
      <c r="F49" s="22" t="s">
        <v>56</v>
      </c>
      <c r="G49" s="22" t="s">
        <v>57</v>
      </c>
    </row>
    <row r="50" spans="2:7" x14ac:dyDescent="0.25">
      <c r="B50" s="19" t="s">
        <v>58</v>
      </c>
      <c r="C50" s="22" t="s">
        <v>59</v>
      </c>
      <c r="D50" s="22" t="s">
        <v>60</v>
      </c>
      <c r="E50" s="22" t="s">
        <v>61</v>
      </c>
      <c r="F50" s="22" t="s">
        <v>62</v>
      </c>
      <c r="G50" s="22" t="s">
        <v>63</v>
      </c>
    </row>
    <row r="51" spans="2:7" x14ac:dyDescent="0.25">
      <c r="B51" s="11" t="s">
        <v>64</v>
      </c>
    </row>
    <row r="53" spans="2:7" x14ac:dyDescent="0.25">
      <c r="E53" s="12">
        <v>2012825</v>
      </c>
    </row>
    <row r="54" spans="2:7" x14ac:dyDescent="0.25">
      <c r="E54" s="13">
        <v>2435976</v>
      </c>
    </row>
    <row r="55" spans="2:7" x14ac:dyDescent="0.25">
      <c r="E55" s="13">
        <v>2765371</v>
      </c>
    </row>
    <row r="56" spans="2:7" x14ac:dyDescent="0.25">
      <c r="E56" s="13">
        <v>5291345</v>
      </c>
    </row>
    <row r="57" spans="2:7" x14ac:dyDescent="0.25">
      <c r="E57" s="13">
        <v>6584873</v>
      </c>
    </row>
    <row r="58" spans="2:7" x14ac:dyDescent="0.25">
      <c r="E58" s="14">
        <f>AVERAGE(E53:E57)</f>
        <v>3818078</v>
      </c>
    </row>
    <row r="60" spans="2:7" x14ac:dyDescent="0.25">
      <c r="B60" s="15" t="s">
        <v>124</v>
      </c>
      <c r="C60" s="15" t="s">
        <v>65</v>
      </c>
      <c r="D60" s="15" t="s">
        <v>66</v>
      </c>
      <c r="E60" s="15" t="s">
        <v>67</v>
      </c>
      <c r="F60" s="15" t="s">
        <v>68</v>
      </c>
      <c r="G60" s="15" t="s">
        <v>69</v>
      </c>
    </row>
    <row r="61" spans="2:7" x14ac:dyDescent="0.25">
      <c r="B61" t="s">
        <v>93</v>
      </c>
      <c r="C61" s="30">
        <f>C62/12</f>
        <v>24000</v>
      </c>
      <c r="D61" s="30">
        <f>D62/12</f>
        <v>23946.308724832215</v>
      </c>
      <c r="E61" s="30">
        <f>E62/12</f>
        <v>24079.6875</v>
      </c>
      <c r="F61" s="30">
        <f>F62/12</f>
        <v>24591.153846153844</v>
      </c>
      <c r="G61" s="30">
        <f>G62/12</f>
        <v>23916.167664670658</v>
      </c>
    </row>
    <row r="62" spans="2:7" x14ac:dyDescent="0.25">
      <c r="B62" t="s">
        <v>136</v>
      </c>
      <c r="C62" s="23">
        <f>C65/C63</f>
        <v>288000</v>
      </c>
      <c r="D62" s="23">
        <f>D65/D63</f>
        <v>287355.7046979866</v>
      </c>
      <c r="E62" s="23">
        <f t="shared" ref="E62:G62" si="4">E65/E63</f>
        <v>288956.25</v>
      </c>
      <c r="F62" s="23">
        <f t="shared" si="4"/>
        <v>295093.84615384613</v>
      </c>
      <c r="G62" s="23">
        <f t="shared" si="4"/>
        <v>286994.01197604788</v>
      </c>
    </row>
    <row r="63" spans="2:7" x14ac:dyDescent="0.25">
      <c r="B63" t="s">
        <v>94</v>
      </c>
      <c r="C63" s="25">
        <v>25</v>
      </c>
      <c r="D63" s="25">
        <v>596</v>
      </c>
      <c r="E63" s="25">
        <v>176</v>
      </c>
      <c r="F63" s="25">
        <v>65</v>
      </c>
      <c r="G63" s="25">
        <v>167</v>
      </c>
    </row>
    <row r="64" spans="2:7" x14ac:dyDescent="0.25">
      <c r="B64" s="33" t="s">
        <v>150</v>
      </c>
      <c r="C64" s="25">
        <v>40</v>
      </c>
      <c r="D64" s="34">
        <v>1212</v>
      </c>
      <c r="E64" s="25">
        <v>325</v>
      </c>
      <c r="F64" s="25">
        <v>121</v>
      </c>
      <c r="G64" s="25">
        <v>216</v>
      </c>
    </row>
    <row r="65" spans="2:7" x14ac:dyDescent="0.25">
      <c r="B65" t="s">
        <v>96</v>
      </c>
      <c r="C65" s="28">
        <f>SUM([1]Resumo!$H$2:$H$13)</f>
        <v>7200000</v>
      </c>
      <c r="D65" s="28">
        <f>SUM([2]Resumo!$H$2:$H$13)</f>
        <v>171264000</v>
      </c>
      <c r="E65" s="28">
        <f>SUM([3]Resumo!$H$2:$H$13)</f>
        <v>50856300</v>
      </c>
      <c r="F65" s="28">
        <f>SUM([4]Resumo!$H$2:$H$13)</f>
        <v>19181100</v>
      </c>
      <c r="G65" s="28">
        <f>SUM([5]Resumo!$H$2:$H$13)</f>
        <v>47928000</v>
      </c>
    </row>
    <row r="67" spans="2:7" x14ac:dyDescent="0.25">
      <c r="B67" t="s">
        <v>99</v>
      </c>
      <c r="C67" s="30">
        <f>C68/12</f>
        <v>8770.6691203703685</v>
      </c>
      <c r="D67" s="30">
        <f>D68/12</f>
        <v>8437.101018220792</v>
      </c>
      <c r="E67" s="30">
        <f>E68/12</f>
        <v>6278.0823550724645</v>
      </c>
      <c r="F67" s="30">
        <f>F68/12</f>
        <v>6214.2579166666665</v>
      </c>
      <c r="G67" s="30">
        <f>G68/12</f>
        <v>7298.5710795454552</v>
      </c>
    </row>
    <row r="68" spans="2:7" x14ac:dyDescent="0.25">
      <c r="B68" t="s">
        <v>137</v>
      </c>
      <c r="C68" s="23">
        <f>C71/C69</f>
        <v>105248.02944444442</v>
      </c>
      <c r="D68" s="23">
        <f>D71/D69</f>
        <v>101245.21221864951</v>
      </c>
      <c r="E68" s="23">
        <f t="shared" ref="E68:G68" si="5">E71/E69</f>
        <v>75336.988260869577</v>
      </c>
      <c r="F68" s="23">
        <f t="shared" si="5"/>
        <v>74571.095000000001</v>
      </c>
      <c r="G68" s="23">
        <f t="shared" si="5"/>
        <v>87582.852954545466</v>
      </c>
    </row>
    <row r="69" spans="2:7" x14ac:dyDescent="0.25">
      <c r="B69" t="s">
        <v>105</v>
      </c>
      <c r="C69" s="25">
        <v>18</v>
      </c>
      <c r="D69" s="25">
        <v>311</v>
      </c>
      <c r="E69" s="25">
        <v>69</v>
      </c>
      <c r="F69" s="25">
        <v>50</v>
      </c>
      <c r="G69" s="25">
        <v>132</v>
      </c>
    </row>
    <row r="70" spans="2:7" x14ac:dyDescent="0.25">
      <c r="B70" s="33" t="s">
        <v>150</v>
      </c>
      <c r="C70" s="25">
        <v>25</v>
      </c>
      <c r="D70" s="34">
        <v>597</v>
      </c>
      <c r="E70" s="25">
        <v>180</v>
      </c>
      <c r="F70" s="25">
        <v>67</v>
      </c>
      <c r="G70" s="25">
        <v>169</v>
      </c>
    </row>
    <row r="71" spans="2:7" x14ac:dyDescent="0.25">
      <c r="B71" t="s">
        <v>100</v>
      </c>
      <c r="C71" s="28">
        <f>SUM([1]Resumo!$H$14:$H$25)</f>
        <v>1894464.5299999996</v>
      </c>
      <c r="D71" s="28">
        <f>SUM([2]Resumo!$H$14:$H$25)</f>
        <v>31487261</v>
      </c>
      <c r="E71" s="28">
        <f>SUM([3]Resumo!$H$14:$H$25)</f>
        <v>5198252.1900000004</v>
      </c>
      <c r="F71" s="28">
        <f>SUM([4]Resumo!$H$14:$H$25)</f>
        <v>3728554.75</v>
      </c>
      <c r="G71" s="28">
        <f>SUM([5]Resumo!$H$14:$H$25)</f>
        <v>11560936.590000002</v>
      </c>
    </row>
    <row r="73" spans="2:7" x14ac:dyDescent="0.25">
      <c r="B73" t="s">
        <v>132</v>
      </c>
      <c r="C73" s="30">
        <f>C74/12</f>
        <v>26885.416666666668</v>
      </c>
      <c r="D73" s="30">
        <f>D74/12</f>
        <v>27685.185185185186</v>
      </c>
      <c r="E73" s="30">
        <f t="shared" ref="E73:G73" si="6">E74/12</f>
        <v>28189.814814814814</v>
      </c>
      <c r="F73" s="30">
        <f t="shared" si="6"/>
        <v>32241.666666666668</v>
      </c>
      <c r="G73" s="30">
        <f t="shared" si="6"/>
        <v>42842.803030303032</v>
      </c>
    </row>
    <row r="74" spans="2:7" x14ac:dyDescent="0.25">
      <c r="B74" t="s">
        <v>133</v>
      </c>
      <c r="C74" s="23">
        <f>C77/C75</f>
        <v>322625</v>
      </c>
      <c r="D74" s="23">
        <f>D77/D75</f>
        <v>332222.22222222225</v>
      </c>
      <c r="E74" s="23">
        <f t="shared" ref="E74:G74" si="7">E77/E75</f>
        <v>338277.77777777775</v>
      </c>
      <c r="F74" s="23">
        <f t="shared" si="7"/>
        <v>386900</v>
      </c>
      <c r="G74" s="23">
        <f t="shared" si="7"/>
        <v>514113.63636363635</v>
      </c>
    </row>
    <row r="75" spans="2:7" x14ac:dyDescent="0.25">
      <c r="B75" t="s">
        <v>105</v>
      </c>
      <c r="C75">
        <v>4</v>
      </c>
      <c r="D75">
        <v>81</v>
      </c>
      <c r="E75">
        <v>18</v>
      </c>
      <c r="F75">
        <v>5</v>
      </c>
      <c r="G75">
        <v>11</v>
      </c>
    </row>
    <row r="76" spans="2:7" x14ac:dyDescent="0.25">
      <c r="B76" s="33" t="s">
        <v>150</v>
      </c>
      <c r="C76">
        <v>5</v>
      </c>
      <c r="D76" s="17">
        <v>604</v>
      </c>
      <c r="E76">
        <v>183</v>
      </c>
      <c r="F76">
        <v>71</v>
      </c>
      <c r="G76">
        <v>16</v>
      </c>
    </row>
    <row r="77" spans="2:7" x14ac:dyDescent="0.25">
      <c r="B77" t="s">
        <v>134</v>
      </c>
      <c r="C77" s="28">
        <f>SUM([1]Resumo!$H$26:$H$37)</f>
        <v>1290500</v>
      </c>
      <c r="D77" s="28">
        <f>SUM([2]Resumo!$H$26:$H$37)</f>
        <v>26910000</v>
      </c>
      <c r="E77" s="28">
        <f>SUM([3]Resumo!$H$26:$H$37)</f>
        <v>6089000</v>
      </c>
      <c r="F77" s="28">
        <f>SUM([4]Resumo!$H$26:$H$37)</f>
        <v>1934500</v>
      </c>
      <c r="G77" s="28">
        <f>SUM([5]Resumo!$H$26:$H$37)</f>
        <v>5655250</v>
      </c>
    </row>
    <row r="79" spans="2:7" x14ac:dyDescent="0.25">
      <c r="B79" t="s">
        <v>122</v>
      </c>
      <c r="C79" s="30">
        <f>C80/12</f>
        <v>3023.35</v>
      </c>
      <c r="D79" s="30">
        <f t="shared" ref="D79:G79" si="8">D80/12</f>
        <v>3036.5721393034823</v>
      </c>
      <c r="E79" s="30">
        <f t="shared" si="8"/>
        <v>3038.9080459770116</v>
      </c>
      <c r="F79" s="30">
        <f t="shared" si="8"/>
        <v>3034.9324894514771</v>
      </c>
      <c r="G79" s="30">
        <f t="shared" si="8"/>
        <v>3037.9966178128525</v>
      </c>
    </row>
    <row r="80" spans="2:7" x14ac:dyDescent="0.25">
      <c r="B80" t="s">
        <v>138</v>
      </c>
      <c r="C80" s="23">
        <f>C83/C81</f>
        <v>36280.199999999997</v>
      </c>
      <c r="D80" s="23">
        <f>D83/D81</f>
        <v>36438.86567164179</v>
      </c>
      <c r="E80" s="23">
        <f>E83/E81</f>
        <v>36466.896551724138</v>
      </c>
      <c r="F80" s="23">
        <f>F83/F81</f>
        <v>36419.189873417723</v>
      </c>
      <c r="G80" s="23">
        <f>G83/G81</f>
        <v>36455.95941375423</v>
      </c>
    </row>
    <row r="81" spans="2:7" x14ac:dyDescent="0.25">
      <c r="B81" t="s">
        <v>105</v>
      </c>
      <c r="C81" s="25">
        <v>140</v>
      </c>
      <c r="D81" s="25">
        <v>2211</v>
      </c>
      <c r="E81" s="25">
        <v>522</v>
      </c>
      <c r="F81" s="25">
        <v>237</v>
      </c>
      <c r="G81" s="25">
        <v>887</v>
      </c>
    </row>
    <row r="82" spans="2:7" x14ac:dyDescent="0.25">
      <c r="B82" s="33" t="s">
        <v>150</v>
      </c>
      <c r="C82" s="34">
        <v>200</v>
      </c>
      <c r="D82" s="34">
        <v>6041</v>
      </c>
      <c r="E82" s="34">
        <v>1625</v>
      </c>
      <c r="F82" s="34">
        <v>606</v>
      </c>
      <c r="G82" s="34">
        <v>1086</v>
      </c>
    </row>
    <row r="83" spans="2:7" x14ac:dyDescent="0.25">
      <c r="B83" t="s">
        <v>106</v>
      </c>
      <c r="C83" s="28">
        <f>SUM([1]Resumo!$H$38:$H$49)</f>
        <v>5079228</v>
      </c>
      <c r="D83" s="28">
        <f>SUM([2]Resumo!$H$38:$H$49)</f>
        <v>80566332</v>
      </c>
      <c r="E83" s="28">
        <f>SUM([3]Resumo!$H$38:$H$49)</f>
        <v>19035720</v>
      </c>
      <c r="F83" s="28">
        <f>SUM([4]Resumo!$H$38:$H$49)</f>
        <v>8631348</v>
      </c>
      <c r="G83" s="28">
        <f>SUM([5]Resumo!$H$38:$H$49)</f>
        <v>32336436</v>
      </c>
    </row>
    <row r="109" spans="2:7" x14ac:dyDescent="0.25">
      <c r="B109" t="s">
        <v>125</v>
      </c>
      <c r="C109" s="23">
        <v>1000</v>
      </c>
      <c r="D109" s="23">
        <v>1000</v>
      </c>
    </row>
    <row r="110" spans="2:7" x14ac:dyDescent="0.25">
      <c r="B110" t="s">
        <v>126</v>
      </c>
      <c r="C110" s="25">
        <v>10</v>
      </c>
      <c r="D110" s="25">
        <v>7</v>
      </c>
    </row>
    <row r="111" spans="2:7" x14ac:dyDescent="0.25">
      <c r="B111" t="s">
        <v>127</v>
      </c>
      <c r="C111" s="28">
        <f>C109*C110*12</f>
        <v>120000</v>
      </c>
      <c r="D111" s="28">
        <f t="shared" ref="D111:G111" si="9">D109*D110*12</f>
        <v>84000</v>
      </c>
      <c r="E111" s="28">
        <f t="shared" si="9"/>
        <v>0</v>
      </c>
      <c r="F111" s="28">
        <f t="shared" si="9"/>
        <v>0</v>
      </c>
      <c r="G111" s="28">
        <f t="shared" si="9"/>
        <v>0</v>
      </c>
    </row>
    <row r="114" spans="2:7" x14ac:dyDescent="0.25">
      <c r="B114" t="s">
        <v>79</v>
      </c>
      <c r="C114" s="13">
        <v>39657.25</v>
      </c>
      <c r="D114">
        <v>1254805.9099999999</v>
      </c>
    </row>
    <row r="115" spans="2:7" x14ac:dyDescent="0.25">
      <c r="B115" t="s">
        <v>80</v>
      </c>
      <c r="C115" s="13">
        <v>39657.25</v>
      </c>
      <c r="D115">
        <v>1254805.9099999999</v>
      </c>
    </row>
    <row r="116" spans="2:7" x14ac:dyDescent="0.25">
      <c r="B116" t="s">
        <v>81</v>
      </c>
      <c r="C116" s="13">
        <v>39657.25</v>
      </c>
      <c r="D116">
        <v>1254805.9099999999</v>
      </c>
    </row>
    <row r="117" spans="2:7" x14ac:dyDescent="0.25">
      <c r="B117" t="s">
        <v>82</v>
      </c>
      <c r="C117" s="13">
        <v>39657.25</v>
      </c>
      <c r="D117">
        <v>1254805.9099999999</v>
      </c>
    </row>
    <row r="118" spans="2:7" x14ac:dyDescent="0.25">
      <c r="B118" t="s">
        <v>83</v>
      </c>
      <c r="C118" s="13">
        <v>39657.25</v>
      </c>
      <c r="D118">
        <v>1254805.9099999999</v>
      </c>
    </row>
    <row r="119" spans="2:7" x14ac:dyDescent="0.25">
      <c r="B119" t="s">
        <v>84</v>
      </c>
      <c r="C119" s="13">
        <v>39657.25</v>
      </c>
      <c r="D119">
        <v>1254805.9099999999</v>
      </c>
    </row>
    <row r="120" spans="2:7" x14ac:dyDescent="0.25">
      <c r="B120" t="s">
        <v>85</v>
      </c>
      <c r="C120" s="13">
        <v>39657.25</v>
      </c>
      <c r="D120">
        <v>1254805.9099999999</v>
      </c>
    </row>
    <row r="121" spans="2:7" x14ac:dyDescent="0.25">
      <c r="B121" t="s">
        <v>86</v>
      </c>
      <c r="C121" s="13">
        <v>39657.25</v>
      </c>
      <c r="D121">
        <v>1254805.9099999999</v>
      </c>
    </row>
    <row r="122" spans="2:7" x14ac:dyDescent="0.25">
      <c r="B122" t="s">
        <v>87</v>
      </c>
      <c r="C122" s="13">
        <v>39657.25</v>
      </c>
      <c r="D122">
        <v>1254805.9099999999</v>
      </c>
    </row>
    <row r="123" spans="2:7" x14ac:dyDescent="0.25">
      <c r="B123" t="s">
        <v>88</v>
      </c>
      <c r="C123" s="13">
        <v>39657.25</v>
      </c>
      <c r="D123">
        <v>1254805.9099999999</v>
      </c>
    </row>
    <row r="124" spans="2:7" x14ac:dyDescent="0.25">
      <c r="B124" t="s">
        <v>89</v>
      </c>
      <c r="C124" s="13">
        <v>39657.25</v>
      </c>
      <c r="D124">
        <v>1254805.9099999999</v>
      </c>
    </row>
    <row r="125" spans="2:7" x14ac:dyDescent="0.25">
      <c r="B125" t="s">
        <v>90</v>
      </c>
      <c r="C125" s="13">
        <v>39657.25</v>
      </c>
      <c r="D125">
        <v>1254805.9099999999</v>
      </c>
    </row>
    <row r="126" spans="2:7" x14ac:dyDescent="0.25">
      <c r="B126" t="s">
        <v>95</v>
      </c>
      <c r="C126" s="28">
        <f>SUM(C114:C125)</f>
        <v>475887</v>
      </c>
      <c r="D126" s="28">
        <f>SUM(D114:D125)</f>
        <v>15057670.92</v>
      </c>
      <c r="E126" s="28">
        <f t="shared" ref="E126:G126" si="10">SUM(E114:E125)</f>
        <v>0</v>
      </c>
      <c r="F126" s="28">
        <f t="shared" si="10"/>
        <v>0</v>
      </c>
      <c r="G126" s="28">
        <f t="shared" si="10"/>
        <v>0</v>
      </c>
    </row>
    <row r="128" spans="2:7" x14ac:dyDescent="0.25">
      <c r="B128" t="s">
        <v>97</v>
      </c>
      <c r="C128" t="s">
        <v>16</v>
      </c>
    </row>
    <row r="129" spans="2:7" x14ac:dyDescent="0.25">
      <c r="C129">
        <v>63110.080000000002</v>
      </c>
      <c r="D129">
        <v>1450824.3</v>
      </c>
    </row>
    <row r="130" spans="2:7" x14ac:dyDescent="0.25">
      <c r="C130">
        <v>63110.080000000002</v>
      </c>
      <c r="D130">
        <v>1450824.3</v>
      </c>
    </row>
    <row r="131" spans="2:7" x14ac:dyDescent="0.25">
      <c r="C131">
        <v>63110.080000000002</v>
      </c>
      <c r="D131">
        <v>1450824.3</v>
      </c>
    </row>
    <row r="132" spans="2:7" x14ac:dyDescent="0.25">
      <c r="C132">
        <v>59463.839999999997</v>
      </c>
      <c r="D132">
        <v>1410530.9</v>
      </c>
    </row>
    <row r="133" spans="2:7" x14ac:dyDescent="0.25">
      <c r="C133">
        <v>59463.839999999997</v>
      </c>
      <c r="D133">
        <v>1410530.9</v>
      </c>
    </row>
    <row r="134" spans="2:7" x14ac:dyDescent="0.25">
      <c r="C134">
        <v>59463.839999999997</v>
      </c>
      <c r="D134">
        <v>1410530.9</v>
      </c>
    </row>
    <row r="135" spans="2:7" x14ac:dyDescent="0.25">
      <c r="C135">
        <v>59463.839999999997</v>
      </c>
      <c r="D135">
        <v>1410530.9</v>
      </c>
    </row>
    <row r="136" spans="2:7" x14ac:dyDescent="0.25">
      <c r="C136">
        <v>55935.42</v>
      </c>
      <c r="D136">
        <v>1248613.45</v>
      </c>
    </row>
    <row r="137" spans="2:7" x14ac:dyDescent="0.25">
      <c r="C137">
        <v>42018.09</v>
      </c>
      <c r="D137">
        <v>229095.61</v>
      </c>
    </row>
    <row r="138" spans="2:7" x14ac:dyDescent="0.25">
      <c r="C138">
        <v>55935.42</v>
      </c>
      <c r="D138">
        <v>1248613.45</v>
      </c>
    </row>
    <row r="139" spans="2:7" x14ac:dyDescent="0.25">
      <c r="C139">
        <v>55935.42</v>
      </c>
      <c r="D139">
        <v>1248613.45</v>
      </c>
    </row>
    <row r="140" spans="2:7" x14ac:dyDescent="0.25">
      <c r="C140">
        <v>56064.15</v>
      </c>
      <c r="D140">
        <v>1205821.05</v>
      </c>
    </row>
    <row r="141" spans="2:7" x14ac:dyDescent="0.25">
      <c r="B141" t="s">
        <v>98</v>
      </c>
      <c r="C141" s="28">
        <f>SUM(C129:C140)</f>
        <v>693074.10000000009</v>
      </c>
      <c r="D141" s="28">
        <f>SUM(D129:D140)</f>
        <v>15175353.51</v>
      </c>
      <c r="E141" s="28">
        <f t="shared" ref="E141:G141" si="11">SUM(E129:E140)</f>
        <v>0</v>
      </c>
      <c r="F141" s="28">
        <f t="shared" si="11"/>
        <v>0</v>
      </c>
      <c r="G141" s="28">
        <f t="shared" si="11"/>
        <v>0</v>
      </c>
    </row>
    <row r="143" spans="2:7" x14ac:dyDescent="0.25">
      <c r="B143" t="s">
        <v>128</v>
      </c>
      <c r="C143" s="28">
        <v>0</v>
      </c>
      <c r="D143" s="28">
        <v>40800932</v>
      </c>
      <c r="E143" s="28"/>
      <c r="F143" s="28"/>
      <c r="G143" s="28"/>
    </row>
    <row r="146" spans="2:2" x14ac:dyDescent="0.25">
      <c r="B146" s="27" t="s">
        <v>107</v>
      </c>
    </row>
    <row r="147" spans="2:2" x14ac:dyDescent="0.25">
      <c r="B147" s="26"/>
    </row>
    <row r="148" spans="2:2" ht="18.75" x14ac:dyDescent="0.3">
      <c r="B148" s="26" t="s">
        <v>108</v>
      </c>
    </row>
    <row r="149" spans="2:2" ht="18.75" x14ac:dyDescent="0.3">
      <c r="B149" s="26" t="s">
        <v>109</v>
      </c>
    </row>
    <row r="150" spans="2:2" ht="18.75" x14ac:dyDescent="0.3">
      <c r="B150" s="26" t="s">
        <v>110</v>
      </c>
    </row>
    <row r="151" spans="2:2" ht="18.75" x14ac:dyDescent="0.3">
      <c r="B151" s="26" t="s">
        <v>111</v>
      </c>
    </row>
    <row r="152" spans="2:2" ht="18.75" x14ac:dyDescent="0.3">
      <c r="B152" s="26" t="s">
        <v>120</v>
      </c>
    </row>
    <row r="153" spans="2:2" ht="18.75" x14ac:dyDescent="0.3">
      <c r="B153" s="26" t="s">
        <v>112</v>
      </c>
    </row>
    <row r="154" spans="2:2" ht="18.75" x14ac:dyDescent="0.3">
      <c r="B154" s="26" t="s">
        <v>113</v>
      </c>
    </row>
    <row r="155" spans="2:2" ht="18.75" x14ac:dyDescent="0.3">
      <c r="B155" s="26" t="s">
        <v>114</v>
      </c>
    </row>
    <row r="156" spans="2:2" ht="18.75" x14ac:dyDescent="0.3">
      <c r="B156" s="26" t="s">
        <v>115</v>
      </c>
    </row>
    <row r="157" spans="2:2" ht="18.75" x14ac:dyDescent="0.3">
      <c r="B157" s="26" t="s">
        <v>116</v>
      </c>
    </row>
    <row r="158" spans="2:2" ht="18.75" x14ac:dyDescent="0.3">
      <c r="B158" s="26" t="s">
        <v>117</v>
      </c>
    </row>
    <row r="159" spans="2:2" ht="18.75" x14ac:dyDescent="0.3">
      <c r="B159" s="26" t="s">
        <v>118</v>
      </c>
    </row>
    <row r="160" spans="2:2" ht="18.75" x14ac:dyDescent="0.3">
      <c r="B160" s="26" t="s">
        <v>119</v>
      </c>
    </row>
    <row r="161" spans="2:7" x14ac:dyDescent="0.25">
      <c r="B161" s="26" t="s">
        <v>123</v>
      </c>
    </row>
    <row r="165" spans="2:7" x14ac:dyDescent="0.25">
      <c r="B165" t="s">
        <v>79</v>
      </c>
      <c r="C165">
        <v>34286</v>
      </c>
      <c r="D165">
        <v>826341</v>
      </c>
    </row>
    <row r="166" spans="2:7" x14ac:dyDescent="0.25">
      <c r="B166" t="s">
        <v>80</v>
      </c>
      <c r="C166">
        <v>39184</v>
      </c>
      <c r="D166">
        <v>819802</v>
      </c>
    </row>
    <row r="167" spans="2:7" x14ac:dyDescent="0.25">
      <c r="B167" t="s">
        <v>81</v>
      </c>
      <c r="C167">
        <v>36735</v>
      </c>
      <c r="D167">
        <v>815712</v>
      </c>
    </row>
    <row r="168" spans="2:7" x14ac:dyDescent="0.25">
      <c r="B168" t="s">
        <v>101</v>
      </c>
      <c r="C168">
        <f>AVERAGE(C165:C167)</f>
        <v>36735</v>
      </c>
      <c r="D168" s="25">
        <f>AVERAGE(D165:D167)</f>
        <v>820618.33333333337</v>
      </c>
    </row>
    <row r="169" spans="2:7" x14ac:dyDescent="0.25">
      <c r="B169" t="s">
        <v>102</v>
      </c>
      <c r="C169" s="28">
        <f>C168*12</f>
        <v>440820</v>
      </c>
      <c r="D169" s="28">
        <f t="shared" ref="D169:G169" si="12">D168*12</f>
        <v>9847420</v>
      </c>
      <c r="E169" s="28">
        <f t="shared" si="12"/>
        <v>0</v>
      </c>
      <c r="F169" s="28">
        <f t="shared" si="12"/>
        <v>0</v>
      </c>
      <c r="G169" s="28">
        <f t="shared" si="12"/>
        <v>0</v>
      </c>
    </row>
    <row r="171" spans="2:7" x14ac:dyDescent="0.25">
      <c r="C171">
        <v>33484.94</v>
      </c>
      <c r="D171">
        <v>293515.87</v>
      </c>
    </row>
    <row r="172" spans="2:7" x14ac:dyDescent="0.25">
      <c r="C172">
        <v>33484.94</v>
      </c>
      <c r="D172">
        <v>127275.87</v>
      </c>
    </row>
    <row r="173" spans="2:7" x14ac:dyDescent="0.25">
      <c r="C173">
        <v>33484.94</v>
      </c>
      <c r="D173">
        <v>127275.87</v>
      </c>
    </row>
    <row r="174" spans="2:7" x14ac:dyDescent="0.25">
      <c r="C174">
        <v>33484.94</v>
      </c>
      <c r="D174">
        <v>127275.87</v>
      </c>
    </row>
    <row r="175" spans="2:7" x14ac:dyDescent="0.25">
      <c r="C175">
        <v>33484.94</v>
      </c>
      <c r="D175">
        <v>127275.87</v>
      </c>
    </row>
    <row r="176" spans="2:7" x14ac:dyDescent="0.25">
      <c r="C176">
        <v>33484.94</v>
      </c>
      <c r="D176">
        <v>127275.87</v>
      </c>
    </row>
    <row r="177" spans="2:7" x14ac:dyDescent="0.25">
      <c r="C177">
        <v>33484.94</v>
      </c>
      <c r="D177">
        <v>127275.87</v>
      </c>
    </row>
    <row r="178" spans="2:7" x14ac:dyDescent="0.25">
      <c r="C178">
        <v>33484.94</v>
      </c>
      <c r="D178">
        <v>123425.87</v>
      </c>
    </row>
    <row r="179" spans="2:7" x14ac:dyDescent="0.25">
      <c r="C179">
        <v>33484.94</v>
      </c>
      <c r="D179">
        <v>123425.87</v>
      </c>
    </row>
    <row r="180" spans="2:7" x14ac:dyDescent="0.25">
      <c r="C180">
        <v>33484.94</v>
      </c>
      <c r="D180">
        <v>123425.87</v>
      </c>
    </row>
    <row r="181" spans="2:7" x14ac:dyDescent="0.25">
      <c r="C181">
        <v>33484.94</v>
      </c>
      <c r="D181">
        <v>123425.87</v>
      </c>
    </row>
    <row r="182" spans="2:7" x14ac:dyDescent="0.25">
      <c r="C182">
        <v>33484.94</v>
      </c>
      <c r="D182">
        <v>123425.87</v>
      </c>
    </row>
    <row r="183" spans="2:7" x14ac:dyDescent="0.25">
      <c r="B183" t="s">
        <v>103</v>
      </c>
      <c r="C183" s="28">
        <f>SUM(C171:C182)</f>
        <v>401819.28</v>
      </c>
      <c r="D183" s="28">
        <f t="shared" ref="D183:G183" si="13">SUM(D171:D182)</f>
        <v>1674300.4400000004</v>
      </c>
      <c r="E183" s="28">
        <f t="shared" si="13"/>
        <v>0</v>
      </c>
      <c r="F183" s="28">
        <f t="shared" si="13"/>
        <v>0</v>
      </c>
      <c r="G183" s="28">
        <f t="shared" si="13"/>
        <v>0</v>
      </c>
    </row>
    <row r="184" spans="2:7" x14ac:dyDescent="0.25">
      <c r="B184" t="s">
        <v>104</v>
      </c>
      <c r="C184" s="28">
        <v>135000</v>
      </c>
      <c r="D184" s="28">
        <v>486156.25</v>
      </c>
      <c r="E184" s="28"/>
      <c r="F184" s="28"/>
      <c r="G184" s="28"/>
    </row>
    <row r="186" spans="2:7" x14ac:dyDescent="0.25">
      <c r="B186" t="s">
        <v>129</v>
      </c>
      <c r="C186" s="29">
        <v>0</v>
      </c>
      <c r="D186" s="29">
        <v>1294400</v>
      </c>
      <c r="E186" s="29"/>
      <c r="F186" s="29"/>
      <c r="G186" s="29"/>
    </row>
    <row r="187" spans="2:7" x14ac:dyDescent="0.25">
      <c r="B187" t="s">
        <v>130</v>
      </c>
      <c r="C187" s="29">
        <v>0</v>
      </c>
      <c r="D187" s="29">
        <v>0</v>
      </c>
      <c r="E187" s="29">
        <v>0</v>
      </c>
      <c r="F187" s="29">
        <v>0</v>
      </c>
      <c r="G187" s="29">
        <v>0</v>
      </c>
    </row>
    <row r="188" spans="2:7" x14ac:dyDescent="0.25">
      <c r="B188" t="s">
        <v>131</v>
      </c>
      <c r="C188" s="29">
        <v>0</v>
      </c>
      <c r="D188" s="29">
        <v>0</v>
      </c>
      <c r="E188" s="29">
        <v>0</v>
      </c>
      <c r="F188" s="29">
        <v>0</v>
      </c>
      <c r="G188" s="29">
        <v>0</v>
      </c>
    </row>
  </sheetData>
  <mergeCells count="2">
    <mergeCell ref="B21:D21"/>
    <mergeCell ref="C44:G44"/>
  </mergeCells>
  <phoneticPr fontId="9" type="noConversion"/>
  <hyperlinks>
    <hyperlink ref="B51" r:id="rId1" xr:uid="{E71E0DCF-2C36-4E8E-9CAF-3F2104712069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Capital-vs-Custeio</vt:lpstr>
      <vt:lpstr>I_</vt:lpstr>
      <vt:lpstr>Ian</vt:lpstr>
      <vt:lpstr>n_</vt:lpstr>
      <vt:lpstr>r_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2025-12-18T14:06:43Z</dcterms:created>
  <dcterms:modified xsi:type="dcterms:W3CDTF">2025-12-20T14:26:57Z</dcterms:modified>
</cp:coreProperties>
</file>