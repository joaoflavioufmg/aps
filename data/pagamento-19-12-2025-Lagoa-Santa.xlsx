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AF7AAD9A-2A83-4EB2-8A3D-AEBF5BB8A5B6}" xr6:coauthVersionLast="47" xr6:coauthVersionMax="47" xr10:uidLastSave="{00000000-0000-0000-0000-000000000000}"/>
  <bookViews>
    <workbookView xWindow="-120" yWindow="-120" windowWidth="29040" windowHeight="15720" tabRatio="792" xr2:uid="{00000000-000D-0000-FFFF-FFFF00000000}"/>
  </bookViews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5" l="1"/>
  <c r="W28" i="4"/>
  <c r="W27" i="4"/>
  <c r="W26" i="4"/>
  <c r="W25" i="4"/>
  <c r="W24" i="4"/>
  <c r="W23" i="4"/>
  <c r="W22" i="4"/>
  <c r="W21" i="4"/>
  <c r="W20" i="4"/>
  <c r="W19" i="4"/>
  <c r="W18" i="4"/>
  <c r="W17" i="4"/>
  <c r="Y13" i="5"/>
  <c r="Y12" i="5"/>
  <c r="Y11" i="5"/>
  <c r="Y10" i="5"/>
  <c r="Y9" i="5"/>
  <c r="Y8" i="5"/>
  <c r="Y7" i="5"/>
  <c r="Y6" i="5"/>
  <c r="Y5" i="5"/>
  <c r="Y4" i="5"/>
  <c r="Y3" i="5"/>
  <c r="Y2" i="5"/>
  <c r="K27" i="12"/>
  <c r="K26" i="12"/>
  <c r="K25" i="12"/>
  <c r="K24" i="12"/>
  <c r="K23" i="12"/>
  <c r="K22" i="12"/>
  <c r="K21" i="12"/>
  <c r="K20" i="12"/>
  <c r="K19" i="12"/>
  <c r="K18" i="12"/>
  <c r="K17" i="12"/>
  <c r="K16" i="12"/>
  <c r="U26" i="2"/>
  <c r="U25" i="2"/>
  <c r="U24" i="2"/>
  <c r="U23" i="2"/>
  <c r="U22" i="2"/>
  <c r="U21" i="2"/>
  <c r="U20" i="2"/>
  <c r="U19" i="2"/>
  <c r="U18" i="2"/>
  <c r="U17" i="2"/>
  <c r="U16" i="2"/>
  <c r="U15" i="2"/>
</calcChain>
</file>

<file path=xl/sharedStrings.xml><?xml version="1.0" encoding="utf-8"?>
<sst xmlns="http://schemas.openxmlformats.org/spreadsheetml/2006/main" count="2324" uniqueCount="187">
  <si>
    <t>UF</t>
  </si>
  <si>
    <t>MUNICÍPIO</t>
  </si>
  <si>
    <t>IBGE</t>
  </si>
  <si>
    <t>Comp. CNES</t>
  </si>
  <si>
    <t>Parcela</t>
  </si>
  <si>
    <t>Plano Orcamentário</t>
  </si>
  <si>
    <t>Gestão</t>
  </si>
  <si>
    <t>Valor Integral</t>
  </si>
  <si>
    <t>Ajuste</t>
  </si>
  <si>
    <t>Desconto</t>
  </si>
  <si>
    <t>Valor efetivo de repasse</t>
  </si>
  <si>
    <t>Valor da Implantação</t>
  </si>
  <si>
    <t>Ajuste da Implantação</t>
  </si>
  <si>
    <t>Desconto da Implantação</t>
  </si>
  <si>
    <t>Valor total da implantação</t>
  </si>
  <si>
    <t>MG</t>
  </si>
  <si>
    <t>LAGOA SANTA</t>
  </si>
  <si>
    <t>313760</t>
  </si>
  <si>
    <t>NOV/2024</t>
  </si>
  <si>
    <t>1/12</t>
  </si>
  <si>
    <t>Equipes de Saúde da Família - eSF e equipes de Atenção Primária - eAP</t>
  </si>
  <si>
    <t>MUNICIPAL</t>
  </si>
  <si>
    <t>DEZ/2024</t>
  </si>
  <si>
    <t>2/12</t>
  </si>
  <si>
    <t>JAN/2025</t>
  </si>
  <si>
    <t>3/12</t>
  </si>
  <si>
    <t>FEV/2025</t>
  </si>
  <si>
    <t>4/12</t>
  </si>
  <si>
    <t>MAR/2025</t>
  </si>
  <si>
    <t>5/12</t>
  </si>
  <si>
    <t>ABR/2025</t>
  </si>
  <si>
    <t>6/12</t>
  </si>
  <si>
    <t>MAI/2025</t>
  </si>
  <si>
    <t>7/12</t>
  </si>
  <si>
    <t>JUN/2025</t>
  </si>
  <si>
    <t>8/12</t>
  </si>
  <si>
    <t>JUL/2025</t>
  </si>
  <si>
    <t>9/12</t>
  </si>
  <si>
    <t>AGO/2025</t>
  </si>
  <si>
    <t>10/12</t>
  </si>
  <si>
    <t>SET/2025</t>
  </si>
  <si>
    <t>11/12</t>
  </si>
  <si>
    <t>OUT/2025</t>
  </si>
  <si>
    <t>12/12</t>
  </si>
  <si>
    <t>Atenção à Saúde Bucal</t>
  </si>
  <si>
    <t>Equipes Multiprofissionais - eMulti</t>
  </si>
  <si>
    <t>Agentes Comunitários de Saúde</t>
  </si>
  <si>
    <t>Demais programas, serviços e equipes da Atenção Primária à Saúde</t>
  </si>
  <si>
    <t>Atenção à Saúde de Pessoas em Conflito com a Lei - ADPF 347</t>
  </si>
  <si>
    <t>Componente per capita de base populacional</t>
  </si>
  <si>
    <t>Academia da Saúde</t>
  </si>
  <si>
    <t>Indicador de Equidade e Dimensionamento</t>
  </si>
  <si>
    <t>Classificação Componente Vínculo</t>
  </si>
  <si>
    <t>Classificação Componente Qualidade</t>
  </si>
  <si>
    <t>Teto eSF</t>
  </si>
  <si>
    <t>Qtde. eSF Credenciadas</t>
  </si>
  <si>
    <t>Qtde. eSF Homologadas</t>
  </si>
  <si>
    <t>Qtde. eSF Pagas</t>
  </si>
  <si>
    <t>Qtde. eSF Completas</t>
  </si>
  <si>
    <t>Qtde. eSF Incompletas - 75%</t>
  </si>
  <si>
    <t>Qtde. eSF Incompletas - 50%</t>
  </si>
  <si>
    <t>Qtde. eSF Incompletas - 25%</t>
  </si>
  <si>
    <t>Componente Equidade eSF</t>
  </si>
  <si>
    <t>Vínculo e Acompanhamento territorial eSF</t>
  </si>
  <si>
    <t>Qualidade eSF</t>
  </si>
  <si>
    <t>Parcela Adicional - Qualidade</t>
  </si>
  <si>
    <t>Valor Total eSF</t>
  </si>
  <si>
    <t>Implantação eSF</t>
  </si>
  <si>
    <t>ESTRATO 4</t>
  </si>
  <si>
    <t>BOM</t>
  </si>
  <si>
    <t>Teto eAP</t>
  </si>
  <si>
    <t>Qtde. eAP Credenciadas</t>
  </si>
  <si>
    <t>Qtde. eAP Homologadas</t>
  </si>
  <si>
    <t>Qtde. eAP Pagas</t>
  </si>
  <si>
    <t>Qtde. eAP 20h Completas</t>
  </si>
  <si>
    <t>Qtde. eAP 20h Incompletas</t>
  </si>
  <si>
    <t>Qtde. eAP 30h Completas</t>
  </si>
  <si>
    <t>Qtde. eAP 30h Incompletas</t>
  </si>
  <si>
    <t>Componente Equidade eAP</t>
  </si>
  <si>
    <t>Vínculo e Acompanhamento territorial eAP</t>
  </si>
  <si>
    <t>Qualidade eAP</t>
  </si>
  <si>
    <t>Valor  Total eAP</t>
  </si>
  <si>
    <t>Implantação eAP</t>
  </si>
  <si>
    <t>Teto eMulti Ampliada</t>
  </si>
  <si>
    <t>Teto eMulti Complementar</t>
  </si>
  <si>
    <t>Teto eMulti Estratégica</t>
  </si>
  <si>
    <t>Qtde. eMulti Credenciadas</t>
  </si>
  <si>
    <t>Qtde. eMulti Homologadas</t>
  </si>
  <si>
    <t>Qtde. eMulti Total Pagas</t>
  </si>
  <si>
    <t>Qt. eMulti Ampliada Pagas</t>
  </si>
  <si>
    <t>Qt. eMulti Intermunicipal Pagas</t>
  </si>
  <si>
    <t>Qt. eMulti Complementar Pagas</t>
  </si>
  <si>
    <t>Qt. eMulti Estratégica Pagas</t>
  </si>
  <si>
    <t>Qt. Atendimento Remoto</t>
  </si>
  <si>
    <t>Custeio Manutenção Atendimento Remoto</t>
  </si>
  <si>
    <t>Valor Custeio eMulti</t>
  </si>
  <si>
    <t>Valor Componente Qualidade</t>
  </si>
  <si>
    <t>Valor Total Custeio</t>
  </si>
  <si>
    <t>Implantação eMulti</t>
  </si>
  <si>
    <t>Qt. Teto eSB 40h</t>
  </si>
  <si>
    <t>Qt. Teto eSB CH Diferenciada</t>
  </si>
  <si>
    <t>Qtde. eSB 40h Credenciada</t>
  </si>
  <si>
    <t>Qtde. eSB CH diferenciada Credenciada</t>
  </si>
  <si>
    <t>Qtde. eSB 40h Homologada</t>
  </si>
  <si>
    <t>Qtde. eSB CH diferenciada Homologada</t>
  </si>
  <si>
    <t>Qt. eSB 40h Modalidade I Pagas</t>
  </si>
  <si>
    <t>Qt. eSB 40h Modalidade II Pagas</t>
  </si>
  <si>
    <t>Qt. eSB CH diferenciada - 20h semanais Pagas</t>
  </si>
  <si>
    <t>Qt. eSB CH diferenciada - 30h semanais Pagas</t>
  </si>
  <si>
    <t>Qt. eSB 40h Modalidade I - Quilombolas/ Assentados Pagas</t>
  </si>
  <si>
    <t>Qt. eSB 40h Modalidade II - Quilombolas/ Assentados Pagas</t>
  </si>
  <si>
    <t>Qt. eSB Implantação (somente ESB 40h)</t>
  </si>
  <si>
    <t>Valor custeio eSB 40h</t>
  </si>
  <si>
    <t>Valor custeio eSB CH Diferenciada</t>
  </si>
  <si>
    <t>Valor Implantação (somente ESB 40h)</t>
  </si>
  <si>
    <t>Qt. UOM Credenciada</t>
  </si>
  <si>
    <t>Qt. UOM Homologada</t>
  </si>
  <si>
    <t>Qt. UOM Paga</t>
  </si>
  <si>
    <t>Valor Custeio</t>
  </si>
  <si>
    <t>Valor Implantação</t>
  </si>
  <si>
    <t>CEO Municipal</t>
  </si>
  <si>
    <t>CEO Estadual</t>
  </si>
  <si>
    <t>LRPD Municipal</t>
  </si>
  <si>
    <t>LRPD Estadual</t>
  </si>
  <si>
    <t>Custeio</t>
  </si>
  <si>
    <t>Desempenho</t>
  </si>
  <si>
    <t>Total</t>
  </si>
  <si>
    <t>Qtde. eCR Credenciadas</t>
  </si>
  <si>
    <t>Qtde. eCR Homologadas</t>
  </si>
  <si>
    <t>Qtde. eCR Modalidade I Pagas</t>
  </si>
  <si>
    <t>Qtde. eCR Modalidade II Pagas</t>
  </si>
  <si>
    <t>Qtde. eCR Modalidade III Pagas</t>
  </si>
  <si>
    <t>Custeio eCR</t>
  </si>
  <si>
    <t>Qualidade eCR</t>
  </si>
  <si>
    <t>Implantação eCR</t>
  </si>
  <si>
    <t>Valor Total</t>
  </si>
  <si>
    <t>Qtde. eSFRB Credenciado</t>
  </si>
  <si>
    <t>Qtde. eSFRB Homologado</t>
  </si>
  <si>
    <t>Qtde. eSFRB Pago</t>
  </si>
  <si>
    <t>Implantação</t>
  </si>
  <si>
    <t>Qtde. Embarcação Extra</t>
  </si>
  <si>
    <t>Qt. Unidade Apoio Extra</t>
  </si>
  <si>
    <t>Qt. Microscopista Extra</t>
  </si>
  <si>
    <t>Qt. Auxiliar Enf. Extra</t>
  </si>
  <si>
    <t>Qt. Auxiliar SB Extra</t>
  </si>
  <si>
    <t>Qt. Prof. Nível Superior Extra</t>
  </si>
  <si>
    <t>Custeio Componente Extra</t>
  </si>
  <si>
    <t>Qt. Teto</t>
  </si>
  <si>
    <t>Qt. ACS Credenciado</t>
  </si>
  <si>
    <t>Qt. ACS (95% e 5%) Pago</t>
  </si>
  <si>
    <t>Valor ACS (95% e 5%)</t>
  </si>
  <si>
    <t>Parcela Extra</t>
  </si>
  <si>
    <t>Limite da Qt. ACS*</t>
  </si>
  <si>
    <t>Qtde. ACS pago</t>
  </si>
  <si>
    <t>Valor</t>
  </si>
  <si>
    <t>Qtde. UBSF Credenciado</t>
  </si>
  <si>
    <t>Qtde. UBSF Homologado</t>
  </si>
  <si>
    <t>Qtde. UBSF Pago</t>
  </si>
  <si>
    <t>Qtde. Microscopista Credenciado</t>
  </si>
  <si>
    <t>Qtde. Microscopista Pago</t>
  </si>
  <si>
    <t>Qt. Médico Residente Homologado</t>
  </si>
  <si>
    <t>Qt. Enfermeiro Residente Homologado</t>
  </si>
  <si>
    <t>Qt. Cirurgião-Dentista Residente Homologado</t>
  </si>
  <si>
    <t>Qt. Médico Residente Pago</t>
  </si>
  <si>
    <t>Qt. Enfermeiro Residente Pago</t>
  </si>
  <si>
    <t>Qt. Cirurgião-Dentista Residente Pago</t>
  </si>
  <si>
    <t>Qtde. eAPP Municipal Credenciada</t>
  </si>
  <si>
    <t>Qtde. eAPP Municipal Paga</t>
  </si>
  <si>
    <t>Valor eAPP Municipal</t>
  </si>
  <si>
    <t>Qualidade eAPP Municipal</t>
  </si>
  <si>
    <t>Implantação eAPP Municipal</t>
  </si>
  <si>
    <t>Qtde. eAPP Estadual Credenciada</t>
  </si>
  <si>
    <t>Qtde. eAPP Estadual Paga</t>
  </si>
  <si>
    <t>Valor eAPP Estadual</t>
  </si>
  <si>
    <t>Qualidade eAPP Estadual</t>
  </si>
  <si>
    <t>Implantação eAPP Estadual</t>
  </si>
  <si>
    <t>Qtde. Estabelecimentos Credenciados</t>
  </si>
  <si>
    <t>Qtde. Estabelecimentos Pagos</t>
  </si>
  <si>
    <t>Ciclo</t>
  </si>
  <si>
    <t>Percentual de escolas pactuadas</t>
  </si>
  <si>
    <t>Valor do Monitoramento do PSE</t>
  </si>
  <si>
    <t>Valor do Incentivo Adicional</t>
  </si>
  <si>
    <t>-</t>
  </si>
  <si>
    <t>Qtde. em trâmite de descredenciamento</t>
  </si>
  <si>
    <t>População</t>
  </si>
  <si>
    <t>Ano (estimativa)</t>
  </si>
  <si>
    <t>Total/eSB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</si>
</sst>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_);&quot;-R$ &quot;#,##0.00"/>
  </numFmts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2" borderId="1" xfId="1"/>
    <xf numFmtId="2" fontId="0" fillId="0" borderId="0" xfId="0" applyNumberFormat="1"/>
    <xf numFmtId="0" fontId="2" fillId="3" borderId="2" xfId="2"/>
  </cellXfs>
  <cellStyles count="3">
    <cellStyle name="Calculation" xfId="2" builtinId="22"/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workbookViewId="0"/>
  </sheetViews>
  <sheetFormatPr defaultRowHeight="15.75" x14ac:dyDescent="0.25"/>
  <cols>
    <col min="2" max="2" width="15.75" customWidth="1"/>
    <col min="6" max="6" width="48.5" customWidth="1"/>
    <col min="7" max="7" width="13" customWidth="1"/>
    <col min="8" max="8" width="13.25" bestFit="1" customWidth="1"/>
    <col min="10" max="10" width="12.125" bestFit="1" customWidth="1"/>
    <col min="11" max="11" width="20.875" bestFit="1" customWidth="1"/>
    <col min="12" max="12" width="18.375" bestFit="1" customWidth="1"/>
    <col min="15" max="15" width="22.75" bestFit="1" customWidth="1"/>
  </cols>
  <sheetData>
    <row r="1" spans="1:1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600000</v>
      </c>
      <c r="I2" s="1">
        <v>0</v>
      </c>
      <c r="J2" s="1">
        <v>-37159.5</v>
      </c>
      <c r="K2" s="1">
        <v>562840.5</v>
      </c>
      <c r="L2" s="1">
        <v>30000</v>
      </c>
      <c r="M2" s="1">
        <v>0</v>
      </c>
      <c r="N2" s="1">
        <v>0</v>
      </c>
      <c r="O2" s="1">
        <v>30000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600000</v>
      </c>
      <c r="I3" s="1">
        <v>0</v>
      </c>
      <c r="J3" s="1">
        <v>-61932.5</v>
      </c>
      <c r="K3" s="1">
        <v>538067.5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600000</v>
      </c>
      <c r="I4" s="1">
        <v>0</v>
      </c>
      <c r="J4" s="1">
        <v>-61932.5</v>
      </c>
      <c r="K4" s="1">
        <v>538067.5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600000</v>
      </c>
      <c r="I5" s="1">
        <v>0</v>
      </c>
      <c r="J5" s="1">
        <v>-61932.5</v>
      </c>
      <c r="K5" s="1">
        <v>538067.5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600000</v>
      </c>
      <c r="I6" s="1">
        <v>0</v>
      </c>
      <c r="J6" s="1">
        <v>-61932.5</v>
      </c>
      <c r="K6" s="1">
        <v>538067.5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600000</v>
      </c>
      <c r="I7" s="1">
        <v>0</v>
      </c>
      <c r="J7" s="1">
        <v>-61932.5</v>
      </c>
      <c r="K7" s="1">
        <v>538067.5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600000</v>
      </c>
      <c r="I8" s="1">
        <v>0</v>
      </c>
      <c r="J8" s="1">
        <v>-56232</v>
      </c>
      <c r="K8" s="1">
        <v>543768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600000</v>
      </c>
      <c r="I9" s="1">
        <v>0</v>
      </c>
      <c r="J9" s="1">
        <v>-56232</v>
      </c>
      <c r="K9" s="1">
        <v>543768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 t="s">
        <v>21</v>
      </c>
      <c r="H10" s="1">
        <v>600000</v>
      </c>
      <c r="I10" s="1">
        <v>0</v>
      </c>
      <c r="J10" s="1">
        <v>-70290</v>
      </c>
      <c r="K10" s="1">
        <v>529710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 t="s">
        <v>21</v>
      </c>
      <c r="H11" s="1">
        <v>600000</v>
      </c>
      <c r="I11" s="1">
        <v>0</v>
      </c>
      <c r="J11" s="1">
        <v>-56232</v>
      </c>
      <c r="K11" s="1">
        <v>543768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20</v>
      </c>
      <c r="G12" t="s">
        <v>21</v>
      </c>
      <c r="H12" s="1">
        <v>600000</v>
      </c>
      <c r="I12" s="1">
        <v>0</v>
      </c>
      <c r="J12" s="1">
        <v>-56232</v>
      </c>
      <c r="K12" s="1">
        <v>543768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20</v>
      </c>
      <c r="G13" t="s">
        <v>21</v>
      </c>
      <c r="H13" s="1">
        <v>600000</v>
      </c>
      <c r="I13" s="1">
        <v>0</v>
      </c>
      <c r="J13" s="1">
        <v>-56232</v>
      </c>
      <c r="K13" s="1">
        <v>543768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44</v>
      </c>
      <c r="G14" t="s">
        <v>21</v>
      </c>
      <c r="H14" s="1">
        <v>161038.94</v>
      </c>
      <c r="I14" s="1">
        <v>0</v>
      </c>
      <c r="J14" s="1">
        <v>0</v>
      </c>
      <c r="K14" s="1">
        <v>161038.94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22</v>
      </c>
      <c r="E15" t="s">
        <v>23</v>
      </c>
      <c r="F15" t="s">
        <v>44</v>
      </c>
      <c r="G15" t="s">
        <v>21</v>
      </c>
      <c r="H15" s="1">
        <v>161038.94</v>
      </c>
      <c r="I15" s="1">
        <v>0</v>
      </c>
      <c r="J15" s="1">
        <v>0</v>
      </c>
      <c r="K15" s="1">
        <v>161038.94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24</v>
      </c>
      <c r="E16" t="s">
        <v>25</v>
      </c>
      <c r="F16" t="s">
        <v>44</v>
      </c>
      <c r="G16" t="s">
        <v>21</v>
      </c>
      <c r="H16" s="1">
        <v>161038.94</v>
      </c>
      <c r="I16" s="1">
        <v>0</v>
      </c>
      <c r="J16" s="1">
        <v>0</v>
      </c>
      <c r="K16" s="1">
        <v>161038.94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26</v>
      </c>
      <c r="E17" t="s">
        <v>27</v>
      </c>
      <c r="F17" t="s">
        <v>44</v>
      </c>
      <c r="G17" t="s">
        <v>21</v>
      </c>
      <c r="H17" s="1">
        <v>164702.44</v>
      </c>
      <c r="I17" s="1">
        <v>0</v>
      </c>
      <c r="J17" s="1">
        <v>0</v>
      </c>
      <c r="K17" s="1">
        <v>164702.44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28</v>
      </c>
      <c r="E18" t="s">
        <v>29</v>
      </c>
      <c r="F18" t="s">
        <v>44</v>
      </c>
      <c r="G18" t="s">
        <v>21</v>
      </c>
      <c r="H18" s="1">
        <v>158851.69</v>
      </c>
      <c r="I18" s="1">
        <v>0</v>
      </c>
      <c r="J18" s="1">
        <v>0</v>
      </c>
      <c r="K18" s="1">
        <v>158851.69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30</v>
      </c>
      <c r="E19" t="s">
        <v>31</v>
      </c>
      <c r="F19" t="s">
        <v>44</v>
      </c>
      <c r="G19" t="s">
        <v>21</v>
      </c>
      <c r="H19" s="1">
        <v>162515.19</v>
      </c>
      <c r="I19" s="1">
        <v>0</v>
      </c>
      <c r="J19" s="1">
        <v>0</v>
      </c>
      <c r="K19" s="1">
        <v>162515.19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32</v>
      </c>
      <c r="E20" t="s">
        <v>33</v>
      </c>
      <c r="F20" t="s">
        <v>44</v>
      </c>
      <c r="G20" t="s">
        <v>21</v>
      </c>
      <c r="H20" s="1">
        <v>162515.19</v>
      </c>
      <c r="I20" s="1">
        <v>0</v>
      </c>
      <c r="J20" s="1">
        <v>0</v>
      </c>
      <c r="K20" s="1">
        <v>162515.19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34</v>
      </c>
      <c r="E21" t="s">
        <v>35</v>
      </c>
      <c r="F21" t="s">
        <v>44</v>
      </c>
      <c r="G21" t="s">
        <v>21</v>
      </c>
      <c r="H21" s="1">
        <v>161038.94</v>
      </c>
      <c r="I21" s="1">
        <v>0</v>
      </c>
      <c r="J21" s="1">
        <v>0</v>
      </c>
      <c r="K21" s="1">
        <v>161038.94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36</v>
      </c>
      <c r="E22" t="s">
        <v>37</v>
      </c>
      <c r="F22" t="s">
        <v>44</v>
      </c>
      <c r="G22" t="s">
        <v>21</v>
      </c>
      <c r="H22" s="1">
        <v>149337.44</v>
      </c>
      <c r="I22" s="1">
        <v>0</v>
      </c>
      <c r="J22" s="1">
        <v>0</v>
      </c>
      <c r="K22" s="1">
        <v>149337.44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38</v>
      </c>
      <c r="E23" t="s">
        <v>39</v>
      </c>
      <c r="F23" t="s">
        <v>44</v>
      </c>
      <c r="G23" t="s">
        <v>21</v>
      </c>
      <c r="H23" s="1">
        <v>149337.44</v>
      </c>
      <c r="I23" s="1">
        <v>0</v>
      </c>
      <c r="J23" s="1">
        <v>0</v>
      </c>
      <c r="K23" s="1">
        <v>149337.44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40</v>
      </c>
      <c r="E24" t="s">
        <v>41</v>
      </c>
      <c r="F24" t="s">
        <v>44</v>
      </c>
      <c r="G24" t="s">
        <v>21</v>
      </c>
      <c r="H24" s="1">
        <v>149337.44</v>
      </c>
      <c r="I24" s="1">
        <v>0</v>
      </c>
      <c r="J24" s="1">
        <v>0</v>
      </c>
      <c r="K24" s="1">
        <v>149337.44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5">
      <c r="A25" t="s">
        <v>15</v>
      </c>
      <c r="B25" t="s">
        <v>16</v>
      </c>
      <c r="C25" t="s">
        <v>17</v>
      </c>
      <c r="D25" t="s">
        <v>42</v>
      </c>
      <c r="E25" t="s">
        <v>43</v>
      </c>
      <c r="F25" t="s">
        <v>44</v>
      </c>
      <c r="G25" t="s">
        <v>21</v>
      </c>
      <c r="H25" s="1">
        <v>153711.94</v>
      </c>
      <c r="I25" s="1">
        <v>0</v>
      </c>
      <c r="J25" s="1">
        <v>0</v>
      </c>
      <c r="K25" s="1">
        <v>153711.94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45</v>
      </c>
      <c r="G26" t="s">
        <v>21</v>
      </c>
      <c r="H26" s="1">
        <v>62000</v>
      </c>
      <c r="I26" s="1">
        <v>0</v>
      </c>
      <c r="J26" s="1">
        <v>0</v>
      </c>
      <c r="K26" s="1">
        <v>62000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5">
      <c r="A27" t="s">
        <v>15</v>
      </c>
      <c r="B27" t="s">
        <v>16</v>
      </c>
      <c r="C27" t="s">
        <v>17</v>
      </c>
      <c r="D27" t="s">
        <v>22</v>
      </c>
      <c r="E27" t="s">
        <v>23</v>
      </c>
      <c r="F27" t="s">
        <v>45</v>
      </c>
      <c r="G27" t="s">
        <v>21</v>
      </c>
      <c r="H27" s="1">
        <v>76250</v>
      </c>
      <c r="I27" s="1">
        <v>0</v>
      </c>
      <c r="J27" s="1">
        <v>0</v>
      </c>
      <c r="K27" s="1">
        <v>76250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24</v>
      </c>
      <c r="E28" t="s">
        <v>25</v>
      </c>
      <c r="F28" t="s">
        <v>45</v>
      </c>
      <c r="G28" t="s">
        <v>21</v>
      </c>
      <c r="H28" s="1">
        <v>71250</v>
      </c>
      <c r="I28" s="1">
        <v>0</v>
      </c>
      <c r="J28" s="1">
        <v>0</v>
      </c>
      <c r="K28" s="1">
        <v>71250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26</v>
      </c>
      <c r="E29" t="s">
        <v>27</v>
      </c>
      <c r="F29" t="s">
        <v>45</v>
      </c>
      <c r="G29" t="s">
        <v>21</v>
      </c>
      <c r="H29" s="1">
        <v>71250</v>
      </c>
      <c r="I29" s="1">
        <v>0</v>
      </c>
      <c r="J29" s="1">
        <v>0</v>
      </c>
      <c r="K29" s="1">
        <v>71250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28</v>
      </c>
      <c r="E30" t="s">
        <v>29</v>
      </c>
      <c r="F30" t="s">
        <v>45</v>
      </c>
      <c r="G30" t="s">
        <v>21</v>
      </c>
      <c r="H30" s="1">
        <v>71250</v>
      </c>
      <c r="I30" s="1">
        <v>0</v>
      </c>
      <c r="J30" s="1">
        <v>0</v>
      </c>
      <c r="K30" s="1">
        <v>71250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30</v>
      </c>
      <c r="E31" t="s">
        <v>31</v>
      </c>
      <c r="F31" t="s">
        <v>45</v>
      </c>
      <c r="G31" t="s">
        <v>21</v>
      </c>
      <c r="H31" s="1">
        <v>133250</v>
      </c>
      <c r="I31" s="1">
        <v>0</v>
      </c>
      <c r="J31" s="1">
        <v>0</v>
      </c>
      <c r="K31" s="1">
        <v>133250</v>
      </c>
      <c r="L31" s="1">
        <v>36000</v>
      </c>
      <c r="M31" s="1">
        <v>0</v>
      </c>
      <c r="N31" s="1">
        <v>0</v>
      </c>
      <c r="O31" s="1">
        <v>36000</v>
      </c>
    </row>
    <row r="32" spans="1:1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45</v>
      </c>
      <c r="G32" t="s">
        <v>21</v>
      </c>
      <c r="H32" s="1">
        <v>133250</v>
      </c>
      <c r="I32" s="1">
        <v>0</v>
      </c>
      <c r="J32" s="1">
        <v>0</v>
      </c>
      <c r="K32" s="1">
        <v>133250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34</v>
      </c>
      <c r="E33" t="s">
        <v>35</v>
      </c>
      <c r="F33" t="s">
        <v>45</v>
      </c>
      <c r="G33" t="s">
        <v>21</v>
      </c>
      <c r="H33" s="1">
        <v>140750</v>
      </c>
      <c r="I33" s="1">
        <v>0</v>
      </c>
      <c r="J33" s="1">
        <v>0</v>
      </c>
      <c r="K33" s="1">
        <v>140750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36</v>
      </c>
      <c r="E34" t="s">
        <v>37</v>
      </c>
      <c r="F34" t="s">
        <v>45</v>
      </c>
      <c r="G34" t="s">
        <v>21</v>
      </c>
      <c r="H34" s="1">
        <v>124000</v>
      </c>
      <c r="I34" s="1">
        <v>0</v>
      </c>
      <c r="J34" s="1">
        <v>0</v>
      </c>
      <c r="K34" s="1">
        <v>124000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25">
      <c r="A35" t="s">
        <v>15</v>
      </c>
      <c r="B35" t="s">
        <v>16</v>
      </c>
      <c r="C35" t="s">
        <v>17</v>
      </c>
      <c r="D35" t="s">
        <v>38</v>
      </c>
      <c r="E35" t="s">
        <v>39</v>
      </c>
      <c r="F35" t="s">
        <v>45</v>
      </c>
      <c r="G35" t="s">
        <v>21</v>
      </c>
      <c r="H35" s="1">
        <v>135750</v>
      </c>
      <c r="I35" s="1">
        <v>0</v>
      </c>
      <c r="J35" s="1">
        <v>-5000</v>
      </c>
      <c r="K35" s="1">
        <v>130750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40</v>
      </c>
      <c r="E36" t="s">
        <v>41</v>
      </c>
      <c r="F36" t="s">
        <v>45</v>
      </c>
      <c r="G36" t="s">
        <v>21</v>
      </c>
      <c r="H36" s="1">
        <v>135750</v>
      </c>
      <c r="I36" s="1">
        <v>0</v>
      </c>
      <c r="J36" s="1">
        <v>0</v>
      </c>
      <c r="K36" s="1">
        <v>135750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5">
      <c r="A37" t="s">
        <v>15</v>
      </c>
      <c r="B37" t="s">
        <v>16</v>
      </c>
      <c r="C37" t="s">
        <v>17</v>
      </c>
      <c r="D37" t="s">
        <v>42</v>
      </c>
      <c r="E37" t="s">
        <v>43</v>
      </c>
      <c r="F37" t="s">
        <v>45</v>
      </c>
      <c r="G37" t="s">
        <v>21</v>
      </c>
      <c r="H37" s="1">
        <v>135750</v>
      </c>
      <c r="I37" s="1">
        <v>0</v>
      </c>
      <c r="J37" s="1">
        <v>0</v>
      </c>
      <c r="K37" s="1">
        <v>135750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46</v>
      </c>
      <c r="G38" t="s">
        <v>21</v>
      </c>
      <c r="H38" s="1">
        <v>425040</v>
      </c>
      <c r="I38" s="1">
        <v>0</v>
      </c>
      <c r="J38" s="1">
        <v>0</v>
      </c>
      <c r="K38" s="1">
        <v>425040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22</v>
      </c>
      <c r="E39" t="s">
        <v>23</v>
      </c>
      <c r="F39" t="s">
        <v>46</v>
      </c>
      <c r="G39" t="s">
        <v>21</v>
      </c>
      <c r="H39" s="1">
        <v>425040</v>
      </c>
      <c r="I39" s="1">
        <v>0</v>
      </c>
      <c r="J39" s="1">
        <v>0</v>
      </c>
      <c r="K39" s="1">
        <v>425040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24</v>
      </c>
      <c r="E40" t="s">
        <v>25</v>
      </c>
      <c r="F40" t="s">
        <v>46</v>
      </c>
      <c r="G40" t="s">
        <v>21</v>
      </c>
      <c r="H40" s="1">
        <v>425040</v>
      </c>
      <c r="I40" s="1">
        <v>0</v>
      </c>
      <c r="J40" s="1">
        <v>0</v>
      </c>
      <c r="K40" s="1">
        <v>425040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26</v>
      </c>
      <c r="E41" t="s">
        <v>27</v>
      </c>
      <c r="F41" t="s">
        <v>46</v>
      </c>
      <c r="G41" t="s">
        <v>21</v>
      </c>
      <c r="H41" s="1">
        <v>418968</v>
      </c>
      <c r="I41" s="1">
        <v>0</v>
      </c>
      <c r="J41" s="1">
        <v>0</v>
      </c>
      <c r="K41" s="1">
        <v>418968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28</v>
      </c>
      <c r="E42" t="s">
        <v>29</v>
      </c>
      <c r="F42" t="s">
        <v>46</v>
      </c>
      <c r="G42" t="s">
        <v>21</v>
      </c>
      <c r="H42" s="1">
        <v>415932</v>
      </c>
      <c r="I42" s="1">
        <v>0</v>
      </c>
      <c r="J42" s="1">
        <v>0</v>
      </c>
      <c r="K42" s="1">
        <v>415932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30</v>
      </c>
      <c r="E43" t="s">
        <v>31</v>
      </c>
      <c r="F43" t="s">
        <v>46</v>
      </c>
      <c r="G43" t="s">
        <v>21</v>
      </c>
      <c r="H43" s="1">
        <v>415932</v>
      </c>
      <c r="I43" s="1">
        <v>0</v>
      </c>
      <c r="J43" s="1">
        <v>0</v>
      </c>
      <c r="K43" s="1">
        <v>415932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32</v>
      </c>
      <c r="E44" t="s">
        <v>33</v>
      </c>
      <c r="F44" t="s">
        <v>46</v>
      </c>
      <c r="G44" t="s">
        <v>21</v>
      </c>
      <c r="H44" s="1">
        <v>406824</v>
      </c>
      <c r="I44" s="1">
        <v>0</v>
      </c>
      <c r="J44" s="1">
        <v>0</v>
      </c>
      <c r="K44" s="1">
        <v>406824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34</v>
      </c>
      <c r="E45" t="s">
        <v>35</v>
      </c>
      <c r="F45" t="s">
        <v>46</v>
      </c>
      <c r="G45" t="s">
        <v>21</v>
      </c>
      <c r="H45" s="1">
        <v>431112</v>
      </c>
      <c r="I45" s="1">
        <v>0</v>
      </c>
      <c r="J45" s="1">
        <v>0</v>
      </c>
      <c r="K45" s="1">
        <v>431112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36</v>
      </c>
      <c r="E46" t="s">
        <v>37</v>
      </c>
      <c r="F46" t="s">
        <v>46</v>
      </c>
      <c r="G46" t="s">
        <v>21</v>
      </c>
      <c r="H46" s="1">
        <v>425040</v>
      </c>
      <c r="I46" s="1">
        <v>0</v>
      </c>
      <c r="J46" s="1">
        <v>0</v>
      </c>
      <c r="K46" s="1">
        <v>425040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38</v>
      </c>
      <c r="E47" t="s">
        <v>39</v>
      </c>
      <c r="F47" t="s">
        <v>46</v>
      </c>
      <c r="G47" t="s">
        <v>21</v>
      </c>
      <c r="H47" s="1">
        <v>431112</v>
      </c>
      <c r="I47" s="1">
        <v>0</v>
      </c>
      <c r="J47" s="1">
        <v>0</v>
      </c>
      <c r="K47" s="1">
        <v>431112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40</v>
      </c>
      <c r="E48" t="s">
        <v>41</v>
      </c>
      <c r="F48" t="s">
        <v>46</v>
      </c>
      <c r="G48" t="s">
        <v>21</v>
      </c>
      <c r="H48" s="1">
        <v>431112</v>
      </c>
      <c r="I48" s="1">
        <v>0</v>
      </c>
      <c r="J48" s="1">
        <v>0</v>
      </c>
      <c r="K48" s="1">
        <v>431112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42</v>
      </c>
      <c r="E49" t="s">
        <v>43</v>
      </c>
      <c r="F49" t="s">
        <v>46</v>
      </c>
      <c r="G49" t="s">
        <v>21</v>
      </c>
      <c r="H49" s="1">
        <v>428076</v>
      </c>
      <c r="I49" s="1">
        <v>0</v>
      </c>
      <c r="J49" s="1">
        <v>0</v>
      </c>
      <c r="K49" s="1">
        <v>428076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47</v>
      </c>
      <c r="G50" t="s">
        <v>21</v>
      </c>
      <c r="H50" s="1">
        <v>31550</v>
      </c>
      <c r="I50" s="1">
        <v>0</v>
      </c>
      <c r="J50" s="1">
        <v>0</v>
      </c>
      <c r="K50" s="1">
        <v>31550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22</v>
      </c>
      <c r="E51" t="s">
        <v>23</v>
      </c>
      <c r="F51" t="s">
        <v>47</v>
      </c>
      <c r="G51" t="s">
        <v>21</v>
      </c>
      <c r="H51" s="1">
        <v>31550</v>
      </c>
      <c r="I51" s="1">
        <v>0</v>
      </c>
      <c r="J51" s="1">
        <v>0</v>
      </c>
      <c r="K51" s="1">
        <v>31550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24</v>
      </c>
      <c r="E52" t="s">
        <v>25</v>
      </c>
      <c r="F52" t="s">
        <v>47</v>
      </c>
      <c r="G52" t="s">
        <v>21</v>
      </c>
      <c r="H52" s="1">
        <v>31550</v>
      </c>
      <c r="I52" s="1">
        <v>0</v>
      </c>
      <c r="J52" s="1">
        <v>0</v>
      </c>
      <c r="K52" s="1">
        <v>31550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26</v>
      </c>
      <c r="E53" t="s">
        <v>27</v>
      </c>
      <c r="F53" t="s">
        <v>47</v>
      </c>
      <c r="G53" t="s">
        <v>21</v>
      </c>
      <c r="H53" s="1">
        <v>31550</v>
      </c>
      <c r="I53" s="1">
        <v>0</v>
      </c>
      <c r="J53" s="1">
        <v>0</v>
      </c>
      <c r="K53" s="1">
        <v>31550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28</v>
      </c>
      <c r="E54" t="s">
        <v>29</v>
      </c>
      <c r="F54" t="s">
        <v>47</v>
      </c>
      <c r="G54" t="s">
        <v>21</v>
      </c>
      <c r="H54" s="1">
        <v>31550</v>
      </c>
      <c r="I54" s="1">
        <v>0</v>
      </c>
      <c r="J54" s="1">
        <v>0</v>
      </c>
      <c r="K54" s="1">
        <v>31550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30</v>
      </c>
      <c r="E55" t="s">
        <v>31</v>
      </c>
      <c r="F55" t="s">
        <v>47</v>
      </c>
      <c r="G55" t="s">
        <v>21</v>
      </c>
      <c r="H55" s="1">
        <v>31550</v>
      </c>
      <c r="I55" s="1">
        <v>0</v>
      </c>
      <c r="J55" s="1">
        <v>0</v>
      </c>
      <c r="K55" s="1">
        <v>31550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32</v>
      </c>
      <c r="E56" t="s">
        <v>33</v>
      </c>
      <c r="F56" t="s">
        <v>47</v>
      </c>
      <c r="G56" t="s">
        <v>21</v>
      </c>
      <c r="H56" s="1">
        <v>30000</v>
      </c>
      <c r="I56" s="1">
        <v>0</v>
      </c>
      <c r="J56" s="1">
        <v>0</v>
      </c>
      <c r="K56" s="1">
        <v>30000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34</v>
      </c>
      <c r="E57" t="s">
        <v>35</v>
      </c>
      <c r="F57" t="s">
        <v>47</v>
      </c>
      <c r="G57" t="s">
        <v>21</v>
      </c>
      <c r="H57" s="1">
        <v>31550</v>
      </c>
      <c r="I57" s="1">
        <v>0</v>
      </c>
      <c r="J57" s="1">
        <v>0</v>
      </c>
      <c r="K57" s="1">
        <v>31550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36</v>
      </c>
      <c r="E58" t="s">
        <v>37</v>
      </c>
      <c r="F58" t="s">
        <v>47</v>
      </c>
      <c r="G58" t="s">
        <v>21</v>
      </c>
      <c r="H58" s="1">
        <v>37050</v>
      </c>
      <c r="I58" s="1">
        <v>0</v>
      </c>
      <c r="J58" s="1">
        <v>0</v>
      </c>
      <c r="K58" s="1">
        <v>37050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38</v>
      </c>
      <c r="E59" t="s">
        <v>39</v>
      </c>
      <c r="F59" t="s">
        <v>47</v>
      </c>
      <c r="G59" t="s">
        <v>21</v>
      </c>
      <c r="H59" s="1">
        <v>1550</v>
      </c>
      <c r="I59" s="1">
        <v>0</v>
      </c>
      <c r="J59" s="1">
        <v>0</v>
      </c>
      <c r="K59" s="1">
        <v>1550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40</v>
      </c>
      <c r="E60" t="s">
        <v>41</v>
      </c>
      <c r="F60" t="s">
        <v>47</v>
      </c>
      <c r="G60" t="s">
        <v>21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42</v>
      </c>
      <c r="E61" t="s">
        <v>43</v>
      </c>
      <c r="F61" t="s">
        <v>47</v>
      </c>
      <c r="G61" t="s">
        <v>21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38</v>
      </c>
      <c r="E62" t="s">
        <v>39</v>
      </c>
      <c r="F62" t="s">
        <v>48</v>
      </c>
      <c r="G62" t="s">
        <v>21</v>
      </c>
      <c r="H62" s="1">
        <v>34500</v>
      </c>
      <c r="I62" s="1">
        <v>0</v>
      </c>
      <c r="J62" s="1">
        <v>0</v>
      </c>
      <c r="K62" s="1">
        <v>34500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40</v>
      </c>
      <c r="E63" t="s">
        <v>41</v>
      </c>
      <c r="F63" t="s">
        <v>48</v>
      </c>
      <c r="G63" t="s">
        <v>21</v>
      </c>
      <c r="H63" s="1">
        <v>34500</v>
      </c>
      <c r="I63" s="1">
        <v>0</v>
      </c>
      <c r="J63" s="1">
        <v>0</v>
      </c>
      <c r="K63" s="1">
        <v>34500</v>
      </c>
      <c r="L63" s="1">
        <v>0</v>
      </c>
      <c r="M63" s="1">
        <v>0</v>
      </c>
      <c r="N63" s="1">
        <v>0</v>
      </c>
      <c r="O63" s="1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42</v>
      </c>
      <c r="E64" t="s">
        <v>43</v>
      </c>
      <c r="F64" t="s">
        <v>48</v>
      </c>
      <c r="G64" t="s">
        <v>21</v>
      </c>
      <c r="H64" s="1">
        <v>34500</v>
      </c>
      <c r="I64" s="1">
        <v>0</v>
      </c>
      <c r="J64" s="1">
        <v>0</v>
      </c>
      <c r="K64" s="1">
        <v>34500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49</v>
      </c>
      <c r="G65" t="s">
        <v>21</v>
      </c>
      <c r="H65" s="1">
        <v>39657.25</v>
      </c>
      <c r="I65" s="1">
        <v>0</v>
      </c>
      <c r="J65" s="1">
        <v>0</v>
      </c>
      <c r="K65" s="1">
        <v>39657.25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22</v>
      </c>
      <c r="E66" t="s">
        <v>23</v>
      </c>
      <c r="F66" t="s">
        <v>49</v>
      </c>
      <c r="G66" t="s">
        <v>21</v>
      </c>
      <c r="H66" s="1">
        <v>39657.25</v>
      </c>
      <c r="I66" s="1">
        <v>0</v>
      </c>
      <c r="J66" s="1">
        <v>0</v>
      </c>
      <c r="K66" s="1">
        <v>39657.25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24</v>
      </c>
      <c r="E67" t="s">
        <v>25</v>
      </c>
      <c r="F67" t="s">
        <v>49</v>
      </c>
      <c r="G67" t="s">
        <v>21</v>
      </c>
      <c r="H67" s="1">
        <v>39657.25</v>
      </c>
      <c r="I67" s="1">
        <v>0</v>
      </c>
      <c r="J67" s="1">
        <v>0</v>
      </c>
      <c r="K67" s="1">
        <v>39657.25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26</v>
      </c>
      <c r="E68" t="s">
        <v>27</v>
      </c>
      <c r="F68" t="s">
        <v>49</v>
      </c>
      <c r="G68" t="s">
        <v>21</v>
      </c>
      <c r="H68" s="1">
        <v>39657.25</v>
      </c>
      <c r="I68" s="1">
        <v>0</v>
      </c>
      <c r="J68" s="1">
        <v>0</v>
      </c>
      <c r="K68" s="1">
        <v>39657.25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28</v>
      </c>
      <c r="E69" t="s">
        <v>29</v>
      </c>
      <c r="F69" t="s">
        <v>49</v>
      </c>
      <c r="G69" t="s">
        <v>21</v>
      </c>
      <c r="H69" s="1">
        <v>39657.25</v>
      </c>
      <c r="I69" s="1">
        <v>0</v>
      </c>
      <c r="J69" s="1">
        <v>0</v>
      </c>
      <c r="K69" s="1">
        <v>39657.25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30</v>
      </c>
      <c r="E70" t="s">
        <v>31</v>
      </c>
      <c r="F70" t="s">
        <v>49</v>
      </c>
      <c r="G70" t="s">
        <v>21</v>
      </c>
      <c r="H70" s="1">
        <v>39657.25</v>
      </c>
      <c r="I70" s="1">
        <v>0</v>
      </c>
      <c r="J70" s="1">
        <v>0</v>
      </c>
      <c r="K70" s="1">
        <v>39657.25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32</v>
      </c>
      <c r="E71" t="s">
        <v>33</v>
      </c>
      <c r="F71" t="s">
        <v>49</v>
      </c>
      <c r="G71" t="s">
        <v>21</v>
      </c>
      <c r="H71" s="1">
        <v>39657.25</v>
      </c>
      <c r="I71" s="1">
        <v>0</v>
      </c>
      <c r="J71" s="1">
        <v>0</v>
      </c>
      <c r="K71" s="1">
        <v>39657.25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34</v>
      </c>
      <c r="E72" t="s">
        <v>35</v>
      </c>
      <c r="F72" t="s">
        <v>49</v>
      </c>
      <c r="G72" t="s">
        <v>21</v>
      </c>
      <c r="H72" s="1">
        <v>39657.25</v>
      </c>
      <c r="I72" s="1">
        <v>0</v>
      </c>
      <c r="J72" s="1">
        <v>0</v>
      </c>
      <c r="K72" s="1">
        <v>39657.25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36</v>
      </c>
      <c r="E73" t="s">
        <v>37</v>
      </c>
      <c r="F73" t="s">
        <v>49</v>
      </c>
      <c r="G73" t="s">
        <v>21</v>
      </c>
      <c r="H73" s="1">
        <v>39657.25</v>
      </c>
      <c r="I73" s="1">
        <v>0</v>
      </c>
      <c r="J73" s="1">
        <v>0</v>
      </c>
      <c r="K73" s="1">
        <v>39657.25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5">
      <c r="A74" t="s">
        <v>15</v>
      </c>
      <c r="B74" t="s">
        <v>16</v>
      </c>
      <c r="C74" t="s">
        <v>17</v>
      </c>
      <c r="D74" t="s">
        <v>38</v>
      </c>
      <c r="E74" t="s">
        <v>39</v>
      </c>
      <c r="F74" t="s">
        <v>49</v>
      </c>
      <c r="G74" t="s">
        <v>21</v>
      </c>
      <c r="H74" s="1">
        <v>39657.25</v>
      </c>
      <c r="I74" s="1">
        <v>0</v>
      </c>
      <c r="J74" s="1">
        <v>0</v>
      </c>
      <c r="K74" s="1">
        <v>39657.25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5">
      <c r="A75" t="s">
        <v>15</v>
      </c>
      <c r="B75" t="s">
        <v>16</v>
      </c>
      <c r="C75" t="s">
        <v>17</v>
      </c>
      <c r="D75" t="s">
        <v>40</v>
      </c>
      <c r="E75" t="s">
        <v>41</v>
      </c>
      <c r="F75" t="s">
        <v>49</v>
      </c>
      <c r="G75" t="s">
        <v>21</v>
      </c>
      <c r="H75" s="1">
        <v>39657.25</v>
      </c>
      <c r="I75" s="1">
        <v>0</v>
      </c>
      <c r="J75" s="1">
        <v>0</v>
      </c>
      <c r="K75" s="1">
        <v>39657.25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t="s">
        <v>15</v>
      </c>
      <c r="B76" t="s">
        <v>16</v>
      </c>
      <c r="C76" t="s">
        <v>17</v>
      </c>
      <c r="D76" t="s">
        <v>42</v>
      </c>
      <c r="E76" t="s">
        <v>43</v>
      </c>
      <c r="F76" t="s">
        <v>49</v>
      </c>
      <c r="G76" t="s">
        <v>21</v>
      </c>
      <c r="H76" s="1">
        <v>39657.25</v>
      </c>
      <c r="I76" s="1">
        <v>0</v>
      </c>
      <c r="J76" s="1">
        <v>0</v>
      </c>
      <c r="K76" s="1">
        <v>39657.25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5">
      <c r="A77" t="s">
        <v>15</v>
      </c>
      <c r="B77" t="s">
        <v>16</v>
      </c>
      <c r="C77" t="s">
        <v>17</v>
      </c>
      <c r="D77" t="s">
        <v>32</v>
      </c>
      <c r="E77" t="s">
        <v>33</v>
      </c>
      <c r="F77" t="s">
        <v>50</v>
      </c>
      <c r="G77" t="s">
        <v>21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5">
      <c r="A78" t="s">
        <v>15</v>
      </c>
      <c r="B78" t="s">
        <v>16</v>
      </c>
      <c r="C78" t="s">
        <v>17</v>
      </c>
      <c r="D78" t="s">
        <v>40</v>
      </c>
      <c r="E78" t="s">
        <v>41</v>
      </c>
      <c r="F78" t="s">
        <v>50</v>
      </c>
      <c r="G78" t="s">
        <v>21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</sheetData>
  <pageMargins left="0.7" right="0.7" top="0.75" bottom="0.75" header="0.3" footer="0.3"/>
  <ignoredErrors>
    <ignoredError sqref="A1:O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"/>
  <sheetViews>
    <sheetView workbookViewId="0">
      <selection activeCell="I1" sqref="I1"/>
    </sheetView>
  </sheetViews>
  <sheetFormatPr defaultRowHeight="15.75" x14ac:dyDescent="0.25"/>
  <cols>
    <col min="8" max="8" width="31.875" bestFit="1" customWidth="1"/>
    <col min="9" max="9" width="7.75" bestFit="1" customWidth="1"/>
    <col min="10" max="10" width="20.375" bestFit="1" customWidth="1"/>
    <col min="11" max="11" width="20.5" bestFit="1" customWidth="1"/>
    <col min="12" max="12" width="14.125" hidden="1" customWidth="1"/>
    <col min="13" max="13" width="18" hidden="1" customWidth="1"/>
    <col min="14" max="16" width="24.375" hidden="1" customWidth="1"/>
    <col min="17" max="20" width="4.625" customWidth="1"/>
    <col min="21" max="21" width="13.25" bestFit="1" customWidth="1"/>
    <col min="22" max="22" width="14.25" bestFit="1" customWidth="1"/>
  </cols>
  <sheetData>
    <row r="1" spans="1:22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52</v>
      </c>
      <c r="H1" t="s">
        <v>53</v>
      </c>
      <c r="I1" s="4" t="s">
        <v>54</v>
      </c>
      <c r="J1" t="s">
        <v>55</v>
      </c>
      <c r="K1" s="2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s="2" t="s">
        <v>66</v>
      </c>
      <c r="V1" t="s">
        <v>67</v>
      </c>
    </row>
    <row r="2" spans="1:22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68</v>
      </c>
      <c r="G2" t="s">
        <v>69</v>
      </c>
      <c r="H2" t="s">
        <v>69</v>
      </c>
      <c r="I2">
        <v>33</v>
      </c>
      <c r="J2">
        <v>25</v>
      </c>
      <c r="K2">
        <v>25</v>
      </c>
      <c r="L2">
        <v>25</v>
      </c>
      <c r="M2">
        <v>25</v>
      </c>
      <c r="N2">
        <v>0</v>
      </c>
      <c r="O2">
        <v>0</v>
      </c>
      <c r="P2">
        <v>0</v>
      </c>
      <c r="Q2" s="1">
        <v>300000</v>
      </c>
      <c r="R2" s="1">
        <v>150000</v>
      </c>
      <c r="S2" s="1">
        <v>150000</v>
      </c>
      <c r="T2" s="1">
        <v>0</v>
      </c>
      <c r="U2" s="1">
        <v>600000</v>
      </c>
      <c r="V2" s="1">
        <v>30000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68</v>
      </c>
      <c r="G3" t="s">
        <v>69</v>
      </c>
      <c r="H3" t="s">
        <v>69</v>
      </c>
      <c r="I3">
        <v>40</v>
      </c>
      <c r="J3">
        <v>25</v>
      </c>
      <c r="K3">
        <v>25</v>
      </c>
      <c r="L3">
        <v>25</v>
      </c>
      <c r="M3">
        <v>25</v>
      </c>
      <c r="N3">
        <v>0</v>
      </c>
      <c r="O3">
        <v>0</v>
      </c>
      <c r="P3">
        <v>0</v>
      </c>
      <c r="Q3" s="1">
        <v>300000</v>
      </c>
      <c r="R3" s="1">
        <v>150000</v>
      </c>
      <c r="S3" s="1">
        <v>150000</v>
      </c>
      <c r="T3" s="1">
        <v>0</v>
      </c>
      <c r="U3" s="1">
        <v>600000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68</v>
      </c>
      <c r="G4" t="s">
        <v>69</v>
      </c>
      <c r="H4" t="s">
        <v>69</v>
      </c>
      <c r="I4">
        <v>40</v>
      </c>
      <c r="J4">
        <v>25</v>
      </c>
      <c r="K4">
        <v>25</v>
      </c>
      <c r="L4">
        <v>25</v>
      </c>
      <c r="M4">
        <v>25</v>
      </c>
      <c r="N4">
        <v>0</v>
      </c>
      <c r="O4">
        <v>0</v>
      </c>
      <c r="P4">
        <v>0</v>
      </c>
      <c r="Q4" s="1">
        <v>300000</v>
      </c>
      <c r="R4" s="1">
        <v>150000</v>
      </c>
      <c r="S4" s="1">
        <v>150000</v>
      </c>
      <c r="T4" s="1">
        <v>0</v>
      </c>
      <c r="U4" s="1">
        <v>600000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68</v>
      </c>
      <c r="G5" t="s">
        <v>69</v>
      </c>
      <c r="H5" t="s">
        <v>69</v>
      </c>
      <c r="I5">
        <v>40</v>
      </c>
      <c r="J5">
        <v>25</v>
      </c>
      <c r="K5">
        <v>25</v>
      </c>
      <c r="L5">
        <v>25</v>
      </c>
      <c r="M5">
        <v>25</v>
      </c>
      <c r="N5">
        <v>0</v>
      </c>
      <c r="O5">
        <v>0</v>
      </c>
      <c r="P5">
        <v>0</v>
      </c>
      <c r="Q5" s="1">
        <v>300000</v>
      </c>
      <c r="R5" s="1">
        <v>150000</v>
      </c>
      <c r="S5" s="1">
        <v>150000</v>
      </c>
      <c r="T5" s="1">
        <v>0</v>
      </c>
      <c r="U5" s="1">
        <v>600000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68</v>
      </c>
      <c r="G6" t="s">
        <v>69</v>
      </c>
      <c r="H6" t="s">
        <v>69</v>
      </c>
      <c r="I6">
        <v>40</v>
      </c>
      <c r="J6">
        <v>25</v>
      </c>
      <c r="K6">
        <v>25</v>
      </c>
      <c r="L6">
        <v>25</v>
      </c>
      <c r="M6">
        <v>25</v>
      </c>
      <c r="N6">
        <v>0</v>
      </c>
      <c r="O6">
        <v>0</v>
      </c>
      <c r="P6">
        <v>0</v>
      </c>
      <c r="Q6" s="1">
        <v>300000</v>
      </c>
      <c r="R6" s="1">
        <v>150000</v>
      </c>
      <c r="S6" s="1">
        <v>150000</v>
      </c>
      <c r="T6" s="1">
        <v>0</v>
      </c>
      <c r="U6" s="1">
        <v>600000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68</v>
      </c>
      <c r="G7" t="s">
        <v>69</v>
      </c>
      <c r="H7" t="s">
        <v>69</v>
      </c>
      <c r="I7">
        <v>40</v>
      </c>
      <c r="J7">
        <v>25</v>
      </c>
      <c r="K7">
        <v>25</v>
      </c>
      <c r="L7">
        <v>25</v>
      </c>
      <c r="M7">
        <v>25</v>
      </c>
      <c r="N7">
        <v>0</v>
      </c>
      <c r="O7">
        <v>0</v>
      </c>
      <c r="P7">
        <v>0</v>
      </c>
      <c r="Q7" s="1">
        <v>300000</v>
      </c>
      <c r="R7" s="1">
        <v>150000</v>
      </c>
      <c r="S7" s="1">
        <v>150000</v>
      </c>
      <c r="T7" s="1">
        <v>0</v>
      </c>
      <c r="U7" s="1">
        <v>600000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68</v>
      </c>
      <c r="G8" t="s">
        <v>69</v>
      </c>
      <c r="H8" t="s">
        <v>69</v>
      </c>
      <c r="I8">
        <v>40</v>
      </c>
      <c r="J8">
        <v>25</v>
      </c>
      <c r="K8">
        <v>25</v>
      </c>
      <c r="L8">
        <v>25</v>
      </c>
      <c r="M8">
        <v>25</v>
      </c>
      <c r="N8">
        <v>0</v>
      </c>
      <c r="O8">
        <v>0</v>
      </c>
      <c r="P8">
        <v>0</v>
      </c>
      <c r="Q8" s="1">
        <v>300000</v>
      </c>
      <c r="R8" s="1">
        <v>150000</v>
      </c>
      <c r="S8" s="1">
        <v>150000</v>
      </c>
      <c r="T8" s="1">
        <v>0</v>
      </c>
      <c r="U8" s="1">
        <v>600000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68</v>
      </c>
      <c r="G9" t="s">
        <v>69</v>
      </c>
      <c r="H9" t="s">
        <v>69</v>
      </c>
      <c r="I9">
        <v>40</v>
      </c>
      <c r="J9">
        <v>25</v>
      </c>
      <c r="K9">
        <v>25</v>
      </c>
      <c r="L9">
        <v>25</v>
      </c>
      <c r="M9">
        <v>25</v>
      </c>
      <c r="N9">
        <v>0</v>
      </c>
      <c r="O9">
        <v>0</v>
      </c>
      <c r="P9">
        <v>0</v>
      </c>
      <c r="Q9" s="1">
        <v>300000</v>
      </c>
      <c r="R9" s="1">
        <v>150000</v>
      </c>
      <c r="S9" s="1">
        <v>150000</v>
      </c>
      <c r="T9" s="1">
        <v>0</v>
      </c>
      <c r="U9" s="1">
        <v>600000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68</v>
      </c>
      <c r="G10" t="s">
        <v>69</v>
      </c>
      <c r="H10" t="s">
        <v>69</v>
      </c>
      <c r="I10">
        <v>40</v>
      </c>
      <c r="J10">
        <v>25</v>
      </c>
      <c r="K10">
        <v>25</v>
      </c>
      <c r="L10">
        <v>25</v>
      </c>
      <c r="M10">
        <v>25</v>
      </c>
      <c r="N10">
        <v>0</v>
      </c>
      <c r="O10">
        <v>0</v>
      </c>
      <c r="P10">
        <v>0</v>
      </c>
      <c r="Q10" s="1">
        <v>300000</v>
      </c>
      <c r="R10" s="1">
        <v>150000</v>
      </c>
      <c r="S10" s="1">
        <v>150000</v>
      </c>
      <c r="T10" s="1">
        <v>0</v>
      </c>
      <c r="U10" s="1">
        <v>600000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68</v>
      </c>
      <c r="G11" t="s">
        <v>69</v>
      </c>
      <c r="H11" t="s">
        <v>69</v>
      </c>
      <c r="I11">
        <v>40</v>
      </c>
      <c r="J11">
        <v>25</v>
      </c>
      <c r="K11">
        <v>25</v>
      </c>
      <c r="L11">
        <v>25</v>
      </c>
      <c r="M11">
        <v>25</v>
      </c>
      <c r="N11">
        <v>0</v>
      </c>
      <c r="O11">
        <v>0</v>
      </c>
      <c r="P11">
        <v>0</v>
      </c>
      <c r="Q11" s="1">
        <v>300000</v>
      </c>
      <c r="R11" s="1">
        <v>150000</v>
      </c>
      <c r="S11" s="1">
        <v>150000</v>
      </c>
      <c r="T11" s="1">
        <v>0</v>
      </c>
      <c r="U11" s="1">
        <v>600000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68</v>
      </c>
      <c r="G12" t="s">
        <v>69</v>
      </c>
      <c r="H12" t="s">
        <v>69</v>
      </c>
      <c r="I12">
        <v>40</v>
      </c>
      <c r="J12">
        <v>25</v>
      </c>
      <c r="K12">
        <v>25</v>
      </c>
      <c r="L12">
        <v>25</v>
      </c>
      <c r="M12">
        <v>25</v>
      </c>
      <c r="N12">
        <v>0</v>
      </c>
      <c r="O12">
        <v>0</v>
      </c>
      <c r="P12">
        <v>0</v>
      </c>
      <c r="Q12" s="1">
        <v>300000</v>
      </c>
      <c r="R12" s="1">
        <v>150000</v>
      </c>
      <c r="S12" s="1">
        <v>150000</v>
      </c>
      <c r="T12" s="1">
        <v>0</v>
      </c>
      <c r="U12" s="1">
        <v>600000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68</v>
      </c>
      <c r="G13" t="s">
        <v>69</v>
      </c>
      <c r="H13" t="s">
        <v>69</v>
      </c>
      <c r="I13">
        <v>40</v>
      </c>
      <c r="J13">
        <v>25</v>
      </c>
      <c r="K13">
        <v>25</v>
      </c>
      <c r="L13">
        <v>25</v>
      </c>
      <c r="M13">
        <v>25</v>
      </c>
      <c r="N13">
        <v>0</v>
      </c>
      <c r="O13">
        <v>0</v>
      </c>
      <c r="P13">
        <v>0</v>
      </c>
      <c r="Q13" s="1">
        <v>300000</v>
      </c>
      <c r="R13" s="1">
        <v>150000</v>
      </c>
      <c r="S13" s="1">
        <v>150000</v>
      </c>
      <c r="T13" s="1">
        <v>150000</v>
      </c>
      <c r="U13" s="1">
        <v>750000</v>
      </c>
      <c r="V13" s="1">
        <v>0</v>
      </c>
    </row>
    <row r="15" spans="1:22" x14ac:dyDescent="0.25">
      <c r="U15">
        <f>U2/K2</f>
        <v>24000</v>
      </c>
    </row>
    <row r="16" spans="1:22" x14ac:dyDescent="0.25">
      <c r="U16">
        <f t="shared" ref="U16:U26" si="0">U3/K3</f>
        <v>24000</v>
      </c>
    </row>
    <row r="17" spans="21:21" x14ac:dyDescent="0.25">
      <c r="U17">
        <f t="shared" si="0"/>
        <v>24000</v>
      </c>
    </row>
    <row r="18" spans="21:21" x14ac:dyDescent="0.25">
      <c r="U18">
        <f t="shared" si="0"/>
        <v>24000</v>
      </c>
    </row>
    <row r="19" spans="21:21" x14ac:dyDescent="0.25">
      <c r="U19">
        <f t="shared" si="0"/>
        <v>24000</v>
      </c>
    </row>
    <row r="20" spans="21:21" x14ac:dyDescent="0.25">
      <c r="U20">
        <f t="shared" si="0"/>
        <v>24000</v>
      </c>
    </row>
    <row r="21" spans="21:21" x14ac:dyDescent="0.25">
      <c r="U21">
        <f t="shared" si="0"/>
        <v>24000</v>
      </c>
    </row>
    <row r="22" spans="21:21" x14ac:dyDescent="0.25">
      <c r="U22">
        <f t="shared" si="0"/>
        <v>24000</v>
      </c>
    </row>
    <row r="23" spans="21:21" x14ac:dyDescent="0.25">
      <c r="U23">
        <f t="shared" si="0"/>
        <v>24000</v>
      </c>
    </row>
    <row r="24" spans="21:21" x14ac:dyDescent="0.25">
      <c r="U24">
        <f t="shared" si="0"/>
        <v>24000</v>
      </c>
    </row>
    <row r="25" spans="21:21" x14ac:dyDescent="0.25">
      <c r="U25">
        <f t="shared" si="0"/>
        <v>24000</v>
      </c>
    </row>
    <row r="26" spans="21:21" x14ac:dyDescent="0.25">
      <c r="U26">
        <f t="shared" si="0"/>
        <v>30000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/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52</v>
      </c>
      <c r="H1" t="s">
        <v>53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65</v>
      </c>
      <c r="U1" t="s">
        <v>81</v>
      </c>
      <c r="V1" t="s">
        <v>82</v>
      </c>
    </row>
    <row r="2" spans="1:2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68</v>
      </c>
      <c r="G2" t="s">
        <v>69</v>
      </c>
      <c r="H2" t="s">
        <v>69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68</v>
      </c>
      <c r="G3" t="s">
        <v>69</v>
      </c>
      <c r="H3" t="s">
        <v>69</v>
      </c>
      <c r="I3">
        <v>80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68</v>
      </c>
      <c r="G4" t="s">
        <v>69</v>
      </c>
      <c r="H4" t="s">
        <v>69</v>
      </c>
      <c r="I4">
        <v>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68</v>
      </c>
      <c r="G5" t="s">
        <v>69</v>
      </c>
      <c r="H5" t="s">
        <v>69</v>
      </c>
      <c r="I5">
        <v>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68</v>
      </c>
      <c r="G6" t="s">
        <v>69</v>
      </c>
      <c r="H6" t="s">
        <v>69</v>
      </c>
      <c r="I6">
        <v>80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68</v>
      </c>
      <c r="G7" t="s">
        <v>69</v>
      </c>
      <c r="H7" t="s">
        <v>69</v>
      </c>
      <c r="I7">
        <v>80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68</v>
      </c>
      <c r="G8" t="s">
        <v>69</v>
      </c>
      <c r="H8" t="s">
        <v>69</v>
      </c>
      <c r="I8">
        <v>80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68</v>
      </c>
      <c r="G9" t="s">
        <v>69</v>
      </c>
      <c r="H9" t="s">
        <v>69</v>
      </c>
      <c r="I9">
        <v>80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68</v>
      </c>
      <c r="G10" t="s">
        <v>69</v>
      </c>
      <c r="H10" t="s">
        <v>69</v>
      </c>
      <c r="I10">
        <v>80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68</v>
      </c>
      <c r="G11" t="s">
        <v>69</v>
      </c>
      <c r="H11" t="s">
        <v>69</v>
      </c>
      <c r="I11">
        <v>80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68</v>
      </c>
      <c r="G12" t="s">
        <v>69</v>
      </c>
      <c r="H12" t="s">
        <v>69</v>
      </c>
      <c r="I12">
        <v>80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68</v>
      </c>
      <c r="G13" t="s">
        <v>69</v>
      </c>
      <c r="H13" t="s">
        <v>69</v>
      </c>
      <c r="I13">
        <v>80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"/>
  <sheetViews>
    <sheetView workbookViewId="0">
      <selection activeCell="H2" sqref="H2"/>
    </sheetView>
  </sheetViews>
  <sheetFormatPr defaultRowHeight="15.75" x14ac:dyDescent="0.25"/>
  <cols>
    <col min="7" max="7" width="3.75" customWidth="1"/>
    <col min="8" max="8" width="5" customWidth="1"/>
    <col min="9" max="10" width="3.75" customWidth="1"/>
    <col min="11" max="11" width="23.125" bestFit="1" customWidth="1"/>
    <col min="12" max="12" width="21.5" bestFit="1" customWidth="1"/>
    <col min="13" max="17" width="4" customWidth="1"/>
    <col min="18" max="21" width="2.5" customWidth="1"/>
    <col min="22" max="22" width="16.5" bestFit="1" customWidth="1"/>
    <col min="23" max="23" width="16.75" bestFit="1" customWidth="1"/>
  </cols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83</v>
      </c>
      <c r="H1" s="4" t="s">
        <v>84</v>
      </c>
      <c r="I1" t="s">
        <v>85</v>
      </c>
      <c r="J1" t="s">
        <v>86</v>
      </c>
      <c r="K1" t="s">
        <v>87</v>
      </c>
      <c r="L1" s="2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65</v>
      </c>
      <c r="V1" s="2" t="s">
        <v>97</v>
      </c>
      <c r="W1" t="s">
        <v>98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>
        <v>2</v>
      </c>
      <c r="H2">
        <v>5</v>
      </c>
      <c r="I2">
        <v>25</v>
      </c>
      <c r="J2">
        <v>3</v>
      </c>
      <c r="K2">
        <v>3</v>
      </c>
      <c r="L2">
        <v>2</v>
      </c>
      <c r="M2">
        <v>0</v>
      </c>
      <c r="N2">
        <v>0</v>
      </c>
      <c r="O2">
        <v>2</v>
      </c>
      <c r="P2">
        <v>0</v>
      </c>
      <c r="Q2">
        <v>2</v>
      </c>
      <c r="R2" s="1">
        <v>5000</v>
      </c>
      <c r="S2" s="1">
        <v>48000</v>
      </c>
      <c r="T2" s="1">
        <v>9000</v>
      </c>
      <c r="U2" s="1">
        <v>0</v>
      </c>
      <c r="V2" s="1">
        <v>62000</v>
      </c>
      <c r="W2" s="1">
        <v>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>
        <v>2</v>
      </c>
      <c r="H3">
        <v>5</v>
      </c>
      <c r="I3">
        <v>25</v>
      </c>
      <c r="J3">
        <v>3</v>
      </c>
      <c r="K3">
        <v>3</v>
      </c>
      <c r="L3">
        <v>3</v>
      </c>
      <c r="M3">
        <v>0</v>
      </c>
      <c r="N3">
        <v>0</v>
      </c>
      <c r="O3">
        <v>2</v>
      </c>
      <c r="P3">
        <v>1</v>
      </c>
      <c r="Q3">
        <v>2</v>
      </c>
      <c r="R3" s="1">
        <v>5000</v>
      </c>
      <c r="S3" s="1">
        <v>60000</v>
      </c>
      <c r="T3" s="1">
        <v>11250</v>
      </c>
      <c r="U3" s="1">
        <v>0</v>
      </c>
      <c r="V3" s="1">
        <v>76250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>
        <v>2</v>
      </c>
      <c r="H4">
        <v>5</v>
      </c>
      <c r="I4">
        <v>25</v>
      </c>
      <c r="J4">
        <v>3</v>
      </c>
      <c r="K4">
        <v>3</v>
      </c>
      <c r="L4">
        <v>3</v>
      </c>
      <c r="M4">
        <v>0</v>
      </c>
      <c r="N4">
        <v>0</v>
      </c>
      <c r="O4">
        <v>2</v>
      </c>
      <c r="P4">
        <v>1</v>
      </c>
      <c r="Q4">
        <v>0</v>
      </c>
      <c r="R4" s="1">
        <v>0</v>
      </c>
      <c r="S4" s="1">
        <v>60000</v>
      </c>
      <c r="T4" s="1">
        <v>11250</v>
      </c>
      <c r="U4" s="1">
        <v>0</v>
      </c>
      <c r="V4" s="1">
        <v>71250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>
        <v>2</v>
      </c>
      <c r="H5">
        <v>5</v>
      </c>
      <c r="I5">
        <v>25</v>
      </c>
      <c r="J5">
        <v>3</v>
      </c>
      <c r="K5">
        <v>3</v>
      </c>
      <c r="L5">
        <v>3</v>
      </c>
      <c r="M5">
        <v>0</v>
      </c>
      <c r="N5">
        <v>0</v>
      </c>
      <c r="O5">
        <v>2</v>
      </c>
      <c r="P5">
        <v>1</v>
      </c>
      <c r="Q5">
        <v>0</v>
      </c>
      <c r="R5" s="1">
        <v>0</v>
      </c>
      <c r="S5" s="1">
        <v>60000</v>
      </c>
      <c r="T5" s="1">
        <v>11250</v>
      </c>
      <c r="U5" s="1">
        <v>0</v>
      </c>
      <c r="V5" s="1">
        <v>71250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>
        <v>2</v>
      </c>
      <c r="H6">
        <v>5</v>
      </c>
      <c r="I6">
        <v>25</v>
      </c>
      <c r="J6">
        <v>3</v>
      </c>
      <c r="K6">
        <v>3</v>
      </c>
      <c r="L6">
        <v>3</v>
      </c>
      <c r="M6">
        <v>0</v>
      </c>
      <c r="N6">
        <v>0</v>
      </c>
      <c r="O6">
        <v>2</v>
      </c>
      <c r="P6">
        <v>1</v>
      </c>
      <c r="Q6">
        <v>0</v>
      </c>
      <c r="R6" s="1">
        <v>0</v>
      </c>
      <c r="S6" s="1">
        <v>60000</v>
      </c>
      <c r="T6" s="1">
        <v>11250</v>
      </c>
      <c r="U6" s="1">
        <v>0</v>
      </c>
      <c r="V6" s="1">
        <v>71250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>
        <v>2</v>
      </c>
      <c r="H7">
        <v>5</v>
      </c>
      <c r="I7">
        <v>25</v>
      </c>
      <c r="J7">
        <v>5</v>
      </c>
      <c r="K7">
        <v>5</v>
      </c>
      <c r="L7">
        <v>5</v>
      </c>
      <c r="M7">
        <v>0</v>
      </c>
      <c r="N7">
        <v>0</v>
      </c>
      <c r="O7">
        <v>4</v>
      </c>
      <c r="P7">
        <v>1</v>
      </c>
      <c r="Q7">
        <v>2</v>
      </c>
      <c r="R7" s="1">
        <v>5000</v>
      </c>
      <c r="S7" s="1">
        <v>108000</v>
      </c>
      <c r="T7" s="1">
        <v>20250</v>
      </c>
      <c r="U7" s="1">
        <v>0</v>
      </c>
      <c r="V7" s="1">
        <v>133250</v>
      </c>
      <c r="W7" s="1">
        <v>36000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>
        <v>2</v>
      </c>
      <c r="H8">
        <v>5</v>
      </c>
      <c r="I8">
        <v>25</v>
      </c>
      <c r="J8">
        <v>5</v>
      </c>
      <c r="K8">
        <v>5</v>
      </c>
      <c r="L8">
        <v>5</v>
      </c>
      <c r="M8">
        <v>0</v>
      </c>
      <c r="N8">
        <v>0</v>
      </c>
      <c r="O8">
        <v>4</v>
      </c>
      <c r="P8">
        <v>1</v>
      </c>
      <c r="Q8">
        <v>2</v>
      </c>
      <c r="R8" s="1">
        <v>5000</v>
      </c>
      <c r="S8" s="1">
        <v>108000</v>
      </c>
      <c r="T8" s="1">
        <v>20250</v>
      </c>
      <c r="U8" s="1">
        <v>0</v>
      </c>
      <c r="V8" s="1">
        <v>133250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>
        <v>2</v>
      </c>
      <c r="H9">
        <v>5</v>
      </c>
      <c r="I9">
        <v>25</v>
      </c>
      <c r="J9">
        <v>5</v>
      </c>
      <c r="K9">
        <v>5</v>
      </c>
      <c r="L9">
        <v>5</v>
      </c>
      <c r="M9">
        <v>0</v>
      </c>
      <c r="N9">
        <v>0</v>
      </c>
      <c r="O9">
        <v>4</v>
      </c>
      <c r="P9">
        <v>1</v>
      </c>
      <c r="Q9">
        <v>5</v>
      </c>
      <c r="R9" s="1">
        <v>12500</v>
      </c>
      <c r="S9" s="1">
        <v>108000</v>
      </c>
      <c r="T9" s="1">
        <v>20250</v>
      </c>
      <c r="U9" s="1">
        <v>0</v>
      </c>
      <c r="V9" s="1">
        <v>140750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>
        <v>2</v>
      </c>
      <c r="H10">
        <v>5</v>
      </c>
      <c r="I10">
        <v>25</v>
      </c>
      <c r="J10">
        <v>5</v>
      </c>
      <c r="K10">
        <v>5</v>
      </c>
      <c r="L10">
        <v>5</v>
      </c>
      <c r="M10">
        <v>0</v>
      </c>
      <c r="N10">
        <v>0</v>
      </c>
      <c r="O10">
        <v>3</v>
      </c>
      <c r="P10">
        <v>2</v>
      </c>
      <c r="Q10">
        <v>4</v>
      </c>
      <c r="R10" s="1">
        <v>10000</v>
      </c>
      <c r="S10" s="1">
        <v>96000</v>
      </c>
      <c r="T10" s="1">
        <v>18000</v>
      </c>
      <c r="U10" s="1">
        <v>0</v>
      </c>
      <c r="V10" s="1">
        <v>124000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>
        <v>2</v>
      </c>
      <c r="H11">
        <v>5</v>
      </c>
      <c r="I11">
        <v>25</v>
      </c>
      <c r="J11">
        <v>5</v>
      </c>
      <c r="K11">
        <v>5</v>
      </c>
      <c r="L11">
        <v>5</v>
      </c>
      <c r="M11">
        <v>0</v>
      </c>
      <c r="N11">
        <v>0</v>
      </c>
      <c r="O11">
        <v>4</v>
      </c>
      <c r="P11">
        <v>1</v>
      </c>
      <c r="Q11">
        <v>3</v>
      </c>
      <c r="R11" s="1">
        <v>7500</v>
      </c>
      <c r="S11" s="1">
        <v>108000</v>
      </c>
      <c r="T11" s="1">
        <v>20250</v>
      </c>
      <c r="U11" s="1">
        <v>0</v>
      </c>
      <c r="V11" s="1">
        <v>135750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>
        <v>2</v>
      </c>
      <c r="H12">
        <v>5</v>
      </c>
      <c r="I12">
        <v>25</v>
      </c>
      <c r="J12">
        <v>5</v>
      </c>
      <c r="K12">
        <v>5</v>
      </c>
      <c r="L12">
        <v>5</v>
      </c>
      <c r="M12">
        <v>0</v>
      </c>
      <c r="N12">
        <v>0</v>
      </c>
      <c r="O12">
        <v>4</v>
      </c>
      <c r="P12">
        <v>1</v>
      </c>
      <c r="Q12">
        <v>3</v>
      </c>
      <c r="R12" s="1">
        <v>7500</v>
      </c>
      <c r="S12" s="1">
        <v>108000</v>
      </c>
      <c r="T12" s="1">
        <v>20250</v>
      </c>
      <c r="U12" s="1">
        <v>0</v>
      </c>
      <c r="V12" s="1">
        <v>135750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>
        <v>2</v>
      </c>
      <c r="H13">
        <v>5</v>
      </c>
      <c r="I13">
        <v>25</v>
      </c>
      <c r="J13">
        <v>5</v>
      </c>
      <c r="K13">
        <v>5</v>
      </c>
      <c r="L13">
        <v>5</v>
      </c>
      <c r="M13">
        <v>0</v>
      </c>
      <c r="N13">
        <v>0</v>
      </c>
      <c r="O13">
        <v>4</v>
      </c>
      <c r="P13">
        <v>1</v>
      </c>
      <c r="Q13">
        <v>3</v>
      </c>
      <c r="R13" s="1">
        <v>7500</v>
      </c>
      <c r="S13" s="1">
        <v>108000</v>
      </c>
      <c r="T13" s="1">
        <v>20250</v>
      </c>
      <c r="U13" s="1">
        <v>18937.5</v>
      </c>
      <c r="V13" s="1">
        <v>154687.5</v>
      </c>
      <c r="W13" s="1">
        <v>0</v>
      </c>
    </row>
    <row r="16" spans="1:23" x14ac:dyDescent="0.25">
      <c r="V16" t="s">
        <v>97</v>
      </c>
    </row>
    <row r="17" spans="22:23" x14ac:dyDescent="0.25">
      <c r="V17" s="1">
        <v>62000</v>
      </c>
      <c r="W17" s="1">
        <f>ROUND(V17/L2,2)</f>
        <v>31000</v>
      </c>
    </row>
    <row r="18" spans="22:23" x14ac:dyDescent="0.25">
      <c r="V18" s="1">
        <v>76250</v>
      </c>
      <c r="W18" s="1">
        <f t="shared" ref="W18:W28" si="0">ROUND(V18/L3,2)</f>
        <v>25416.67</v>
      </c>
    </row>
    <row r="19" spans="22:23" x14ac:dyDescent="0.25">
      <c r="V19" s="1">
        <v>71250</v>
      </c>
      <c r="W19" s="1">
        <f t="shared" si="0"/>
        <v>23750</v>
      </c>
    </row>
    <row r="20" spans="22:23" x14ac:dyDescent="0.25">
      <c r="V20" s="1">
        <v>71250</v>
      </c>
      <c r="W20" s="1">
        <f t="shared" si="0"/>
        <v>23750</v>
      </c>
    </row>
    <row r="21" spans="22:23" x14ac:dyDescent="0.25">
      <c r="V21" s="1">
        <v>71250</v>
      </c>
      <c r="W21" s="1">
        <f t="shared" si="0"/>
        <v>23750</v>
      </c>
    </row>
    <row r="22" spans="22:23" x14ac:dyDescent="0.25">
      <c r="V22" s="1">
        <v>133250</v>
      </c>
      <c r="W22" s="1">
        <f t="shared" si="0"/>
        <v>26650</v>
      </c>
    </row>
    <row r="23" spans="22:23" x14ac:dyDescent="0.25">
      <c r="V23" s="1">
        <v>133250</v>
      </c>
      <c r="W23" s="1">
        <f t="shared" si="0"/>
        <v>26650</v>
      </c>
    </row>
    <row r="24" spans="22:23" x14ac:dyDescent="0.25">
      <c r="V24" s="1">
        <v>140750</v>
      </c>
      <c r="W24" s="1">
        <f t="shared" si="0"/>
        <v>28150</v>
      </c>
    </row>
    <row r="25" spans="22:23" x14ac:dyDescent="0.25">
      <c r="V25" s="1">
        <v>124000</v>
      </c>
      <c r="W25" s="1">
        <f t="shared" si="0"/>
        <v>24800</v>
      </c>
    </row>
    <row r="26" spans="22:23" x14ac:dyDescent="0.25">
      <c r="V26" s="1">
        <v>135750</v>
      </c>
      <c r="W26" s="1">
        <f t="shared" si="0"/>
        <v>27150</v>
      </c>
    </row>
    <row r="27" spans="22:23" x14ac:dyDescent="0.25">
      <c r="V27" s="1">
        <v>135750</v>
      </c>
      <c r="W27" s="1">
        <f t="shared" si="0"/>
        <v>27150</v>
      </c>
    </row>
    <row r="28" spans="22:23" x14ac:dyDescent="0.25">
      <c r="V28" s="1">
        <v>154687.5</v>
      </c>
      <c r="W28" s="1">
        <f t="shared" si="0"/>
        <v>30937.5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4"/>
  <sheetViews>
    <sheetView topLeftCell="B1" workbookViewId="0">
      <selection activeCell="F1" sqref="F1"/>
    </sheetView>
  </sheetViews>
  <sheetFormatPr defaultRowHeight="15.75" x14ac:dyDescent="0.25"/>
  <cols>
    <col min="10" max="10" width="22.125" bestFit="1" customWidth="1"/>
    <col min="11" max="18" width="2.625" customWidth="1"/>
    <col min="19" max="19" width="18.75" bestFit="1" customWidth="1"/>
    <col min="20" max="20" width="2.625" customWidth="1"/>
    <col min="21" max="21" width="2.125" customWidth="1"/>
    <col min="22" max="22" width="15.75" customWidth="1"/>
    <col min="23" max="23" width="25.375" bestFit="1" customWidth="1"/>
    <col min="25" max="25" width="10.875" bestFit="1" customWidth="1"/>
  </cols>
  <sheetData>
    <row r="1" spans="1:2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99</v>
      </c>
      <c r="G1" t="s">
        <v>100</v>
      </c>
      <c r="H1" t="s">
        <v>101</v>
      </c>
      <c r="I1" t="s">
        <v>102</v>
      </c>
      <c r="J1" s="2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96</v>
      </c>
      <c r="W1" t="s">
        <v>65</v>
      </c>
      <c r="Y1" s="2" t="s">
        <v>186</v>
      </c>
    </row>
    <row r="2" spans="1:2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25</v>
      </c>
      <c r="G2">
        <v>50</v>
      </c>
      <c r="H2">
        <v>18</v>
      </c>
      <c r="I2">
        <v>0</v>
      </c>
      <c r="J2">
        <v>18</v>
      </c>
      <c r="K2">
        <v>0</v>
      </c>
      <c r="L2">
        <v>15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 s="1">
        <v>81402</v>
      </c>
      <c r="T2" s="1">
        <v>0</v>
      </c>
      <c r="U2" s="1">
        <v>0</v>
      </c>
      <c r="V2" s="1">
        <v>34902</v>
      </c>
      <c r="W2" s="1">
        <v>0</v>
      </c>
      <c r="Y2" s="3">
        <f>ROUND((V2+S2)/J2,2)</f>
        <v>6461.33</v>
      </c>
    </row>
    <row r="3" spans="1:2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25</v>
      </c>
      <c r="G3">
        <v>50</v>
      </c>
      <c r="H3">
        <v>18</v>
      </c>
      <c r="I3">
        <v>0</v>
      </c>
      <c r="J3">
        <v>18</v>
      </c>
      <c r="K3">
        <v>0</v>
      </c>
      <c r="L3">
        <v>15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 s="1">
        <v>81402</v>
      </c>
      <c r="T3" s="1">
        <v>0</v>
      </c>
      <c r="U3" s="1">
        <v>0</v>
      </c>
      <c r="V3" s="1">
        <v>34902</v>
      </c>
      <c r="W3" s="1">
        <v>0</v>
      </c>
      <c r="Y3" s="3">
        <f t="shared" ref="Y3:Y13" si="0">ROUND((V3+S3)/J3,2)</f>
        <v>6461.33</v>
      </c>
    </row>
    <row r="4" spans="1:2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25</v>
      </c>
      <c r="G4">
        <v>50</v>
      </c>
      <c r="H4">
        <v>18</v>
      </c>
      <c r="I4">
        <v>0</v>
      </c>
      <c r="J4">
        <v>18</v>
      </c>
      <c r="K4">
        <v>0</v>
      </c>
      <c r="L4">
        <v>15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 s="1">
        <v>81402</v>
      </c>
      <c r="T4" s="1">
        <v>0</v>
      </c>
      <c r="U4" s="1">
        <v>0</v>
      </c>
      <c r="V4" s="1">
        <v>34902</v>
      </c>
      <c r="W4" s="1">
        <v>0</v>
      </c>
      <c r="Y4" s="3">
        <f t="shared" si="0"/>
        <v>6461.33</v>
      </c>
    </row>
    <row r="5" spans="1:2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25</v>
      </c>
      <c r="G5">
        <v>50</v>
      </c>
      <c r="H5">
        <v>18</v>
      </c>
      <c r="I5">
        <v>0</v>
      </c>
      <c r="J5">
        <v>18</v>
      </c>
      <c r="K5">
        <v>0</v>
      </c>
      <c r="L5">
        <v>14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">
        <v>84452</v>
      </c>
      <c r="T5" s="1">
        <v>0</v>
      </c>
      <c r="U5" s="1">
        <v>0</v>
      </c>
      <c r="V5" s="1">
        <v>35515.5</v>
      </c>
      <c r="W5" s="1">
        <v>0</v>
      </c>
      <c r="Y5" s="3">
        <f t="shared" si="0"/>
        <v>6664.86</v>
      </c>
    </row>
    <row r="6" spans="1:2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25</v>
      </c>
      <c r="G6">
        <v>50</v>
      </c>
      <c r="H6">
        <v>18</v>
      </c>
      <c r="I6">
        <v>0</v>
      </c>
      <c r="J6">
        <v>18</v>
      </c>
      <c r="K6">
        <v>0</v>
      </c>
      <c r="L6">
        <v>13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 s="1">
        <v>80438</v>
      </c>
      <c r="T6" s="1">
        <v>0</v>
      </c>
      <c r="U6" s="1">
        <v>0</v>
      </c>
      <c r="V6" s="1">
        <v>33678.75</v>
      </c>
      <c r="W6" s="1">
        <v>0</v>
      </c>
      <c r="Y6" s="3">
        <f t="shared" si="0"/>
        <v>6339.82</v>
      </c>
    </row>
    <row r="7" spans="1:2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25</v>
      </c>
      <c r="G7">
        <v>50</v>
      </c>
      <c r="H7">
        <v>18</v>
      </c>
      <c r="I7">
        <v>0</v>
      </c>
      <c r="J7">
        <v>18</v>
      </c>
      <c r="K7">
        <v>0</v>
      </c>
      <c r="L7">
        <v>12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 s="1">
        <v>83488</v>
      </c>
      <c r="T7" s="1">
        <v>0</v>
      </c>
      <c r="U7" s="1">
        <v>0</v>
      </c>
      <c r="V7" s="1">
        <v>34292.25</v>
      </c>
      <c r="W7" s="1">
        <v>0</v>
      </c>
      <c r="Y7" s="3">
        <f t="shared" si="0"/>
        <v>6543.35</v>
      </c>
    </row>
    <row r="8" spans="1:2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25</v>
      </c>
      <c r="G8">
        <v>50</v>
      </c>
      <c r="H8">
        <v>18</v>
      </c>
      <c r="I8">
        <v>0</v>
      </c>
      <c r="J8">
        <v>18</v>
      </c>
      <c r="K8">
        <v>0</v>
      </c>
      <c r="L8">
        <v>12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 s="1">
        <v>83488</v>
      </c>
      <c r="T8" s="1">
        <v>0</v>
      </c>
      <c r="U8" s="1">
        <v>0</v>
      </c>
      <c r="V8" s="1">
        <v>34292.25</v>
      </c>
      <c r="W8" s="1">
        <v>0</v>
      </c>
      <c r="Y8" s="3">
        <f t="shared" si="0"/>
        <v>6543.35</v>
      </c>
    </row>
    <row r="9" spans="1:2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25</v>
      </c>
      <c r="G9">
        <v>50</v>
      </c>
      <c r="H9">
        <v>18</v>
      </c>
      <c r="I9">
        <v>0</v>
      </c>
      <c r="J9">
        <v>18</v>
      </c>
      <c r="K9">
        <v>0</v>
      </c>
      <c r="L9">
        <v>15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 s="1">
        <v>81402</v>
      </c>
      <c r="T9" s="1">
        <v>0</v>
      </c>
      <c r="U9" s="1">
        <v>0</v>
      </c>
      <c r="V9" s="1">
        <v>34902</v>
      </c>
      <c r="W9" s="1">
        <v>0</v>
      </c>
      <c r="Y9" s="3">
        <f t="shared" si="0"/>
        <v>6461.33</v>
      </c>
    </row>
    <row r="10" spans="1:2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25</v>
      </c>
      <c r="G10">
        <v>50</v>
      </c>
      <c r="H10">
        <v>18</v>
      </c>
      <c r="I10">
        <v>0</v>
      </c>
      <c r="J10">
        <v>18</v>
      </c>
      <c r="K10">
        <v>0</v>
      </c>
      <c r="L10">
        <v>13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 s="1">
        <v>73374</v>
      </c>
      <c r="T10" s="1">
        <v>0</v>
      </c>
      <c r="U10" s="1">
        <v>0</v>
      </c>
      <c r="V10" s="1">
        <v>31228.5</v>
      </c>
      <c r="W10" s="1">
        <v>0</v>
      </c>
      <c r="Y10" s="3">
        <f t="shared" si="0"/>
        <v>5811.25</v>
      </c>
    </row>
    <row r="11" spans="1:2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25</v>
      </c>
      <c r="G11">
        <v>50</v>
      </c>
      <c r="H11">
        <v>18</v>
      </c>
      <c r="I11">
        <v>0</v>
      </c>
      <c r="J11">
        <v>18</v>
      </c>
      <c r="K11">
        <v>0</v>
      </c>
      <c r="L11">
        <v>13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 s="1">
        <v>73374</v>
      </c>
      <c r="T11" s="1">
        <v>0</v>
      </c>
      <c r="U11" s="1">
        <v>0</v>
      </c>
      <c r="V11" s="1">
        <v>31228.5</v>
      </c>
      <c r="W11" s="1">
        <v>0</v>
      </c>
      <c r="Y11" s="3">
        <f t="shared" si="0"/>
        <v>5811.25</v>
      </c>
    </row>
    <row r="12" spans="1:2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25</v>
      </c>
      <c r="G12">
        <v>50</v>
      </c>
      <c r="H12">
        <v>18</v>
      </c>
      <c r="I12">
        <v>0</v>
      </c>
      <c r="J12">
        <v>18</v>
      </c>
      <c r="K12">
        <v>0</v>
      </c>
      <c r="L12">
        <v>13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 s="1">
        <v>73374</v>
      </c>
      <c r="T12" s="1">
        <v>0</v>
      </c>
      <c r="U12" s="1">
        <v>0</v>
      </c>
      <c r="V12" s="1">
        <v>31228.5</v>
      </c>
      <c r="W12" s="1">
        <v>0</v>
      </c>
      <c r="Y12" s="3">
        <f t="shared" si="0"/>
        <v>5811.25</v>
      </c>
    </row>
    <row r="13" spans="1:2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25</v>
      </c>
      <c r="G13">
        <v>50</v>
      </c>
      <c r="H13">
        <v>18</v>
      </c>
      <c r="I13">
        <v>0</v>
      </c>
      <c r="J13">
        <v>18</v>
      </c>
      <c r="K13">
        <v>0</v>
      </c>
      <c r="L13">
        <v>17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75302</v>
      </c>
      <c r="T13" s="1">
        <v>0</v>
      </c>
      <c r="U13" s="1">
        <v>0</v>
      </c>
      <c r="V13" s="1">
        <v>33675</v>
      </c>
      <c r="W13" s="1">
        <v>33728.94</v>
      </c>
      <c r="Y13" s="3">
        <f t="shared" si="0"/>
        <v>6054.28</v>
      </c>
    </row>
    <row r="14" spans="1:25" x14ac:dyDescent="0.25">
      <c r="Y14" s="3">
        <f>AVERAGE(Y2:Y13)</f>
        <v>6285.394166666666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selection activeCell="F2" sqref="F2:F13"/>
    </sheetView>
  </sheetViews>
  <sheetFormatPr defaultRowHeight="15.75" x14ac:dyDescent="0.25"/>
  <cols>
    <col min="6" max="6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33484.94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33484.94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33484.94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33484.94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33484.94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33484.94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33484.94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33484.94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33484.94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33484.94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33484.94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33484.94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selection activeCell="F2" sqref="F2:F13"/>
    </sheetView>
  </sheetViews>
  <sheetFormatPr defaultRowHeight="15.75" x14ac:dyDescent="0.25"/>
  <cols>
    <col min="6" max="6" width="13.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11250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11250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11250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11250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11250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11250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11250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11250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11250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11250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11250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11250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125</v>
      </c>
      <c r="H1" t="s">
        <v>126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>
        <v>0</v>
      </c>
      <c r="J4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>
        <v>0</v>
      </c>
      <c r="J5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>
        <v>0</v>
      </c>
      <c r="J6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>
        <v>0</v>
      </c>
      <c r="J8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>
        <v>0</v>
      </c>
      <c r="J9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>
        <v>0</v>
      </c>
      <c r="J1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>
        <v>0</v>
      </c>
      <c r="J13">
        <v>0</v>
      </c>
      <c r="K13" s="1">
        <v>0</v>
      </c>
      <c r="L13" s="1">
        <v>0</v>
      </c>
      <c r="M13" s="1">
        <v>0</v>
      </c>
      <c r="N13" s="1">
        <v>0</v>
      </c>
    </row>
  </sheetData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136</v>
      </c>
      <c r="G1" t="s">
        <v>137</v>
      </c>
      <c r="H1" t="s">
        <v>138</v>
      </c>
      <c r="I1" t="s">
        <v>124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 spans="1:1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workbookViewId="0">
      <selection activeCell="F1" sqref="F1"/>
    </sheetView>
  </sheetViews>
  <sheetFormatPr defaultRowHeight="15.75" x14ac:dyDescent="0.25"/>
  <cols>
    <col min="7" max="7" width="10.5" customWidth="1"/>
    <col min="8" max="8" width="21.375" bestFit="1" customWidth="1"/>
    <col min="9" max="10" width="3.375" customWidth="1"/>
    <col min="11" max="11" width="13.25" bestFit="1" customWidth="1"/>
  </cols>
  <sheetData>
    <row r="1" spans="1:11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147</v>
      </c>
      <c r="G1" t="s">
        <v>148</v>
      </c>
      <c r="H1" s="2" t="s">
        <v>149</v>
      </c>
      <c r="I1" t="s">
        <v>150</v>
      </c>
      <c r="J1" t="s">
        <v>151</v>
      </c>
      <c r="K1" s="2" t="s">
        <v>126</v>
      </c>
    </row>
    <row r="2" spans="1:11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167</v>
      </c>
      <c r="G2">
        <v>144</v>
      </c>
      <c r="H2">
        <v>140</v>
      </c>
      <c r="I2" s="1">
        <v>425040</v>
      </c>
      <c r="J2" s="1">
        <v>0</v>
      </c>
      <c r="K2" s="1">
        <v>425040</v>
      </c>
    </row>
    <row r="3" spans="1:11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200</v>
      </c>
      <c r="G3">
        <v>144</v>
      </c>
      <c r="H3">
        <v>140</v>
      </c>
      <c r="I3" s="1">
        <v>425040</v>
      </c>
      <c r="J3" s="1">
        <v>0</v>
      </c>
      <c r="K3" s="1">
        <v>425040</v>
      </c>
    </row>
    <row r="4" spans="1:11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200</v>
      </c>
      <c r="G4">
        <v>144</v>
      </c>
      <c r="H4">
        <v>140</v>
      </c>
      <c r="I4" s="1">
        <v>425040</v>
      </c>
      <c r="J4" s="1">
        <v>0</v>
      </c>
      <c r="K4" s="1">
        <v>425040</v>
      </c>
    </row>
    <row r="5" spans="1:11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200</v>
      </c>
      <c r="G5">
        <v>144</v>
      </c>
      <c r="H5">
        <v>138</v>
      </c>
      <c r="I5" s="1">
        <v>418968</v>
      </c>
      <c r="J5" s="1">
        <v>0</v>
      </c>
      <c r="K5" s="1">
        <v>418968</v>
      </c>
    </row>
    <row r="6" spans="1:11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200</v>
      </c>
      <c r="G6">
        <v>144</v>
      </c>
      <c r="H6">
        <v>137</v>
      </c>
      <c r="I6" s="1">
        <v>415932</v>
      </c>
      <c r="J6" s="1">
        <v>0</v>
      </c>
      <c r="K6" s="1">
        <v>415932</v>
      </c>
    </row>
    <row r="7" spans="1:11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200</v>
      </c>
      <c r="G7">
        <v>144</v>
      </c>
      <c r="H7">
        <v>137</v>
      </c>
      <c r="I7" s="1">
        <v>415932</v>
      </c>
      <c r="J7" s="1">
        <v>0</v>
      </c>
      <c r="K7" s="1">
        <v>415932</v>
      </c>
    </row>
    <row r="8" spans="1:11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200</v>
      </c>
      <c r="G8">
        <v>144</v>
      </c>
      <c r="H8">
        <v>134</v>
      </c>
      <c r="I8" s="1">
        <v>406824</v>
      </c>
      <c r="J8" s="1">
        <v>0</v>
      </c>
      <c r="K8" s="1">
        <v>406824</v>
      </c>
    </row>
    <row r="9" spans="1:11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200</v>
      </c>
      <c r="G9">
        <v>144</v>
      </c>
      <c r="H9">
        <v>142</v>
      </c>
      <c r="I9" s="1">
        <v>431112</v>
      </c>
      <c r="J9" s="1">
        <v>0</v>
      </c>
      <c r="K9" s="1">
        <v>431112</v>
      </c>
    </row>
    <row r="10" spans="1:11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200</v>
      </c>
      <c r="G10">
        <v>144</v>
      </c>
      <c r="H10">
        <v>140</v>
      </c>
      <c r="I10" s="1">
        <v>425040</v>
      </c>
      <c r="J10" s="1">
        <v>0</v>
      </c>
      <c r="K10" s="1">
        <v>425040</v>
      </c>
    </row>
    <row r="11" spans="1:11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200</v>
      </c>
      <c r="G11">
        <v>144</v>
      </c>
      <c r="H11">
        <v>142</v>
      </c>
      <c r="I11" s="1">
        <v>431112</v>
      </c>
      <c r="J11" s="1">
        <v>0</v>
      </c>
      <c r="K11" s="1">
        <v>431112</v>
      </c>
    </row>
    <row r="12" spans="1:11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200</v>
      </c>
      <c r="G12">
        <v>144</v>
      </c>
      <c r="H12">
        <v>142</v>
      </c>
      <c r="I12" s="1">
        <v>431112</v>
      </c>
      <c r="J12" s="1">
        <v>0</v>
      </c>
      <c r="K12" s="1">
        <v>431112</v>
      </c>
    </row>
    <row r="13" spans="1:11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200</v>
      </c>
      <c r="G13">
        <v>144</v>
      </c>
      <c r="H13">
        <v>141</v>
      </c>
      <c r="I13" s="1">
        <v>428076</v>
      </c>
      <c r="J13" s="1">
        <v>431112</v>
      </c>
      <c r="K13" s="1">
        <v>859188</v>
      </c>
    </row>
    <row r="16" spans="1:11" x14ac:dyDescent="0.25">
      <c r="K16" s="3">
        <f>ROUND(K2/H2,2)</f>
        <v>3036</v>
      </c>
    </row>
    <row r="17" spans="11:11" x14ac:dyDescent="0.25">
      <c r="K17" s="3">
        <f t="shared" ref="K17:K27" si="0">ROUND(K3/H3,2)</f>
        <v>3036</v>
      </c>
    </row>
    <row r="18" spans="11:11" x14ac:dyDescent="0.25">
      <c r="K18" s="3">
        <f t="shared" si="0"/>
        <v>3036</v>
      </c>
    </row>
    <row r="19" spans="11:11" x14ac:dyDescent="0.25">
      <c r="K19" s="3">
        <f t="shared" si="0"/>
        <v>3036</v>
      </c>
    </row>
    <row r="20" spans="11:11" x14ac:dyDescent="0.25">
      <c r="K20" s="3">
        <f t="shared" si="0"/>
        <v>3036</v>
      </c>
    </row>
    <row r="21" spans="11:11" x14ac:dyDescent="0.25">
      <c r="K21" s="3">
        <f t="shared" si="0"/>
        <v>3036</v>
      </c>
    </row>
    <row r="22" spans="11:11" x14ac:dyDescent="0.25">
      <c r="K22" s="3">
        <f t="shared" si="0"/>
        <v>3036</v>
      </c>
    </row>
    <row r="23" spans="11:11" x14ac:dyDescent="0.25">
      <c r="K23" s="3">
        <f t="shared" si="0"/>
        <v>3036</v>
      </c>
    </row>
    <row r="24" spans="11:11" x14ac:dyDescent="0.25">
      <c r="K24" s="3">
        <f t="shared" si="0"/>
        <v>3036</v>
      </c>
    </row>
    <row r="25" spans="11:11" x14ac:dyDescent="0.25">
      <c r="K25" s="3">
        <f t="shared" si="0"/>
        <v>3036</v>
      </c>
    </row>
    <row r="26" spans="11:11" x14ac:dyDescent="0.25">
      <c r="K26" s="3">
        <f t="shared" si="0"/>
        <v>3036</v>
      </c>
    </row>
    <row r="27" spans="11:11" x14ac:dyDescent="0.25">
      <c r="K27" s="3">
        <f t="shared" si="0"/>
        <v>6093.53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>
      <selection activeCell="J2" sqref="J2:J13"/>
    </sheetView>
  </sheetViews>
  <sheetFormatPr defaultRowHeight="15.75" x14ac:dyDescent="0.25"/>
  <cols>
    <col min="8" max="8" width="11.125" bestFit="1" customWidth="1"/>
    <col min="10" max="10" width="11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</v>
      </c>
      <c r="G1" t="s">
        <v>153</v>
      </c>
      <c r="H1" t="s">
        <v>154</v>
      </c>
      <c r="I1" t="s">
        <v>151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65</v>
      </c>
      <c r="G2">
        <v>1</v>
      </c>
      <c r="H2" s="1">
        <v>1550</v>
      </c>
      <c r="I2" s="1">
        <v>0</v>
      </c>
      <c r="J2" s="1">
        <v>1550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65</v>
      </c>
      <c r="G3">
        <v>1</v>
      </c>
      <c r="H3" s="1">
        <v>1550</v>
      </c>
      <c r="I3" s="1">
        <v>0</v>
      </c>
      <c r="J3" s="1">
        <v>1550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65</v>
      </c>
      <c r="G4">
        <v>1</v>
      </c>
      <c r="H4" s="1">
        <v>1550</v>
      </c>
      <c r="I4" s="1">
        <v>0</v>
      </c>
      <c r="J4" s="1">
        <v>1550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65</v>
      </c>
      <c r="G5">
        <v>1</v>
      </c>
      <c r="H5" s="1">
        <v>1550</v>
      </c>
      <c r="I5" s="1">
        <v>0</v>
      </c>
      <c r="J5" s="1">
        <v>1550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65</v>
      </c>
      <c r="G6">
        <v>1</v>
      </c>
      <c r="H6" s="1">
        <v>1550</v>
      </c>
      <c r="I6" s="1">
        <v>0</v>
      </c>
      <c r="J6" s="1">
        <v>1550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65</v>
      </c>
      <c r="G7">
        <v>1</v>
      </c>
      <c r="H7" s="1">
        <v>1550</v>
      </c>
      <c r="I7" s="1">
        <v>0</v>
      </c>
      <c r="J7" s="1">
        <v>1550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65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65</v>
      </c>
      <c r="G9">
        <v>1</v>
      </c>
      <c r="H9" s="1">
        <v>1550</v>
      </c>
      <c r="I9" s="1">
        <v>0</v>
      </c>
      <c r="J9" s="1">
        <v>1550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65</v>
      </c>
      <c r="G10">
        <v>1</v>
      </c>
      <c r="H10" s="1">
        <v>1550</v>
      </c>
      <c r="I10" s="1">
        <v>0</v>
      </c>
      <c r="J10" s="1">
        <v>1550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65</v>
      </c>
      <c r="G11">
        <v>1</v>
      </c>
      <c r="H11" s="1">
        <v>1550</v>
      </c>
      <c r="I11" s="1">
        <v>0</v>
      </c>
      <c r="J11" s="1">
        <v>1550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65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65</v>
      </c>
      <c r="G13">
        <v>0</v>
      </c>
      <c r="H13" s="1">
        <v>0</v>
      </c>
      <c r="I13" s="1">
        <v>1550</v>
      </c>
      <c r="J13" s="1">
        <v>1550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  <c r="G1" t="s">
        <v>156</v>
      </c>
      <c r="H1" t="s">
        <v>157</v>
      </c>
      <c r="I1" t="s">
        <v>124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 spans="1:1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 spans="1:1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 spans="1:1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 spans="1:1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 spans="1:1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154</v>
      </c>
      <c r="I1" t="s">
        <v>151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154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>
        <v>0</v>
      </c>
    </row>
    <row r="3" spans="1:1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0</v>
      </c>
    </row>
    <row r="4" spans="1:1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v>0</v>
      </c>
    </row>
    <row r="5" spans="1:1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0</v>
      </c>
    </row>
    <row r="6" spans="1:1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</v>
      </c>
    </row>
    <row r="7" spans="1:1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v>0</v>
      </c>
    </row>
    <row r="8" spans="1:1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v>0</v>
      </c>
    </row>
    <row r="9" spans="1:1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0</v>
      </c>
    </row>
    <row r="10" spans="1:1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v>0</v>
      </c>
    </row>
    <row r="11" spans="1:1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0</v>
      </c>
    </row>
    <row r="12" spans="1:1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v>0</v>
      </c>
    </row>
    <row r="13" spans="1:1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"/>
  <sheetViews>
    <sheetView workbookViewId="0">
      <selection activeCell="H2" sqref="H2:H13"/>
    </sheetView>
  </sheetViews>
  <sheetFormatPr defaultRowHeight="15.75" x14ac:dyDescent="0.25"/>
  <cols>
    <col min="8" max="8" width="14.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1</v>
      </c>
      <c r="H2" s="1">
        <v>30000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</v>
      </c>
      <c r="G3">
        <v>1</v>
      </c>
      <c r="H3" s="1">
        <v>30000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1</v>
      </c>
      <c r="H4" s="1">
        <v>30000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1</v>
      </c>
      <c r="H5" s="1">
        <v>30000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1</v>
      </c>
      <c r="H6" s="1">
        <v>30000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</v>
      </c>
      <c r="G7">
        <v>1</v>
      </c>
      <c r="H7" s="1">
        <v>30000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</v>
      </c>
      <c r="G8">
        <v>1</v>
      </c>
      <c r="H8" s="1">
        <v>30000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1</v>
      </c>
      <c r="H9" s="1">
        <v>30000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 s="1">
        <v>30000</v>
      </c>
      <c r="I10" s="1">
        <v>4500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1</v>
      </c>
      <c r="H11" s="1">
        <v>30000</v>
      </c>
      <c r="I11" s="1">
        <v>4500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 s="1">
        <v>30000</v>
      </c>
      <c r="I12" s="1">
        <v>4500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 s="1">
        <v>30000</v>
      </c>
      <c r="I13" s="1">
        <v>4500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177</v>
      </c>
      <c r="H1" t="s">
        <v>154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</v>
      </c>
      <c r="G2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12</v>
      </c>
      <c r="G3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11</v>
      </c>
      <c r="G4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11</v>
      </c>
      <c r="G5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11</v>
      </c>
      <c r="G6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3</v>
      </c>
      <c r="G7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3</v>
      </c>
      <c r="G8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 s="1">
        <v>1000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182</v>
      </c>
      <c r="G2" t="s">
        <v>182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182</v>
      </c>
      <c r="G3" t="s">
        <v>182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182</v>
      </c>
      <c r="G4" t="s">
        <v>182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182</v>
      </c>
      <c r="G5" t="s">
        <v>182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182</v>
      </c>
      <c r="G6" t="s">
        <v>182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182</v>
      </c>
      <c r="G7" t="s">
        <v>182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182</v>
      </c>
      <c r="G8" t="s">
        <v>182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182</v>
      </c>
      <c r="G9" t="s">
        <v>182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182</v>
      </c>
      <c r="G10" t="s">
        <v>182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182</v>
      </c>
      <c r="G11" t="s">
        <v>182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182</v>
      </c>
      <c r="G12" t="s">
        <v>182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182</v>
      </c>
      <c r="G13" t="s">
        <v>182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177</v>
      </c>
      <c r="H1" t="s">
        <v>183</v>
      </c>
      <c r="I1" t="s">
        <v>154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</row>
    <row r="3" spans="1:9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</row>
    <row r="4" spans="1:9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</row>
    <row r="5" spans="1:9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</row>
    <row r="6" spans="1:9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</row>
    <row r="7" spans="1:9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</row>
    <row r="8" spans="1:9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</row>
    <row r="9" spans="1:9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</row>
    <row r="10" spans="1:9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</row>
    <row r="11" spans="1:9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</row>
    <row r="12" spans="1:9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</row>
    <row r="13" spans="1:9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>
      <selection activeCell="H2" sqref="H2:H13"/>
    </sheetView>
  </sheetViews>
  <sheetFormatPr defaultRowHeight="15.75" x14ac:dyDescent="0.25"/>
  <cols>
    <col min="8" max="8" width="12.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185</v>
      </c>
      <c r="H1" t="s">
        <v>154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79981</v>
      </c>
      <c r="G2">
        <v>2024</v>
      </c>
      <c r="H2" s="1">
        <v>39657.25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79981</v>
      </c>
      <c r="G3">
        <v>2024</v>
      </c>
      <c r="H3" s="1">
        <v>39657.25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79981</v>
      </c>
      <c r="G4">
        <v>2024</v>
      </c>
      <c r="H4" s="1">
        <v>39657.25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79981</v>
      </c>
      <c r="G5">
        <v>2024</v>
      </c>
      <c r="H5" s="1">
        <v>39657.25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79981</v>
      </c>
      <c r="G6">
        <v>2024</v>
      </c>
      <c r="H6" s="1">
        <v>39657.25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79981</v>
      </c>
      <c r="G7">
        <v>2024</v>
      </c>
      <c r="H7" s="1">
        <v>39657.25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79981</v>
      </c>
      <c r="G8">
        <v>2024</v>
      </c>
      <c r="H8" s="1">
        <v>39657.25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79981</v>
      </c>
      <c r="G9">
        <v>2024</v>
      </c>
      <c r="H9" s="1">
        <v>39657.25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79981</v>
      </c>
      <c r="G10">
        <v>2024</v>
      </c>
      <c r="H10" s="1">
        <v>39657.25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79981</v>
      </c>
      <c r="G11">
        <v>2024</v>
      </c>
      <c r="H11" s="1">
        <v>39657.25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79981</v>
      </c>
      <c r="G12">
        <v>2024</v>
      </c>
      <c r="H12" s="1">
        <v>39657.25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79981</v>
      </c>
      <c r="G13">
        <v>2024</v>
      </c>
      <c r="H13" s="1">
        <v>39657.25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de Freitas Almeida</cp:lastModifiedBy>
  <dcterms:modified xsi:type="dcterms:W3CDTF">2025-12-20T14:14:04Z</dcterms:modified>
</cp:coreProperties>
</file>